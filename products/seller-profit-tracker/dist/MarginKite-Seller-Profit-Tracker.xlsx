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ttings" sheetId="2" state="visible" r:id="rId2"/>
    <sheet name="Products" sheetId="3" state="visible" r:id="rId3"/>
    <sheet name="Price Calculator" sheetId="4" state="visible" r:id="rId4"/>
    <sheet name="Orders Log" sheetId="5" state="visible" r:id="rId5"/>
    <sheet name="Expenses" sheetId="6" state="visible" r:id="rId6"/>
    <sheet name="Dashboard" sheetId="7" state="visible" r:id="rId7"/>
  </sheets>
  <definedNames/>
  <calcPr calcId="124519" fullCalcOnLoad="1"/>
</workbook>
</file>

<file path=xl/styles.xml><?xml version="1.0" encoding="utf-8"?>
<styleSheet xmlns="http://schemas.openxmlformats.org/spreadsheetml/2006/main">
  <numFmts count="4">
    <numFmt numFmtId="164" formatCode="&quot;$&quot;#,##0.00;-&quot;$&quot;#,##0.00"/>
    <numFmt numFmtId="165" formatCode="yyyy-mm-dd"/>
    <numFmt numFmtId="166" formatCode="0.0%"/>
    <numFmt numFmtId="167" formatCode="mmm yyyy"/>
  </numFmts>
  <fonts count="13">
    <font>
      <name val="Calibri"/>
      <family val="2"/>
      <color theme="1"/>
      <sz val="11"/>
      <scheme val="minor"/>
    </font>
    <font>
      <b val="1"/>
      <color rgb="001F3A5F"/>
      <sz val="20"/>
    </font>
    <font>
      <b val="1"/>
      <color rgb="00FFFFFF"/>
    </font>
    <font>
      <b val="1"/>
      <color rgb="000F8B7D"/>
      <sz val="13"/>
    </font>
    <font/>
    <font>
      <b val="1"/>
      <color rgb="001F3A5F"/>
      <sz val="16"/>
    </font>
    <font>
      <i val="1"/>
      <color rgb="00595959"/>
    </font>
    <font>
      <b val="1"/>
      <color rgb="000F8B7D"/>
    </font>
    <font>
      <color rgb="007F7F7F"/>
      <sz val="9"/>
    </font>
    <font>
      <b val="1"/>
      <color rgb="00C00000"/>
    </font>
    <font>
      <b val="1"/>
      <color rgb="002E7D32"/>
    </font>
    <font>
      <b val="1"/>
      <color rgb="009C5700"/>
    </font>
    <font>
      <b val="1"/>
    </font>
  </fonts>
  <fills count="6">
    <fill>
      <patternFill/>
    </fill>
    <fill>
      <patternFill patternType="gray125"/>
    </fill>
    <fill>
      <patternFill patternType="solid">
        <fgColor rgb="000F8B7D"/>
      </patternFill>
    </fill>
    <fill>
      <patternFill patternType="solid">
        <fgColor rgb="00FFF2CC"/>
      </patternFill>
    </fill>
    <fill>
      <patternFill patternType="solid">
        <fgColor rgb="00DDEBF7"/>
      </patternFill>
    </fill>
    <fill>
      <patternFill patternType="solid">
        <fgColor rgb="001F3A5F"/>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0" fillId="3" borderId="1" pivotButton="0" quotePrefix="0" xfId="0"/>
    <xf numFmtId="0" fontId="0" fillId="4" borderId="1" pivotButton="0" quotePrefix="0" xfId="0"/>
    <xf numFmtId="0" fontId="5" fillId="0" borderId="0" pivotButton="0" quotePrefix="0" xfId="0"/>
    <xf numFmtId="0" fontId="6" fillId="0" borderId="0" pivotButton="0" quotePrefix="0" xfId="0"/>
    <xf numFmtId="0" fontId="7" fillId="0" borderId="0" pivotButton="0" quotePrefix="0" xfId="0"/>
    <xf numFmtId="0" fontId="4" fillId="0" borderId="0" pivotButton="0" quotePrefix="0" xfId="0"/>
    <xf numFmtId="164" fontId="0" fillId="3" borderId="1" applyProtection="1" pivotButton="0" quotePrefix="0" xfId="0">
      <protection locked="0" hidden="0"/>
    </xf>
    <xf numFmtId="0" fontId="0" fillId="3" borderId="1" applyProtection="1" pivotButton="0" quotePrefix="0" xfId="0">
      <protection locked="0" hidden="0"/>
    </xf>
    <xf numFmtId="10" fontId="0" fillId="4" borderId="1" pivotButton="0" quotePrefix="0" xfId="0"/>
    <xf numFmtId="164" fontId="0" fillId="4" borderId="1" pivotButton="0" quotePrefix="0" xfId="0"/>
    <xf numFmtId="0" fontId="2" fillId="5" borderId="1" applyAlignment="1" pivotButton="0" quotePrefix="0" xfId="0">
      <alignment vertical="center" wrapText="1"/>
    </xf>
    <xf numFmtId="0" fontId="8" fillId="0" borderId="0" pivotButton="0" quotePrefix="0" xfId="0"/>
    <xf numFmtId="165" fontId="0" fillId="3" borderId="1" applyProtection="1" pivotButton="0" quotePrefix="0" xfId="0">
      <protection locked="0" hidden="0"/>
    </xf>
    <xf numFmtId="0" fontId="9" fillId="3" borderId="1" applyProtection="1" pivotButton="0" quotePrefix="0" xfId="0">
      <protection locked="0" hidden="0"/>
    </xf>
    <xf numFmtId="0" fontId="0" fillId="0" borderId="0" applyAlignment="1" pivotButton="0" quotePrefix="0" xfId="0">
      <alignment/>
    </xf>
    <xf numFmtId="10" fontId="0" fillId="3" borderId="1" applyProtection="1" pivotButton="0" quotePrefix="0" xfId="0">
      <protection locked="0" hidden="0"/>
    </xf>
    <xf numFmtId="0" fontId="0" fillId="0" borderId="0" applyAlignment="1" pivotButton="0" quotePrefix="0" xfId="0">
      <alignment horizontal="right"/>
    </xf>
    <xf numFmtId="0" fontId="10" fillId="3" borderId="1" applyProtection="1" pivotButton="0" quotePrefix="0" xfId="0">
      <protection locked="0" hidden="0"/>
    </xf>
    <xf numFmtId="0" fontId="11" fillId="3" borderId="1" applyProtection="1" pivotButton="0" quotePrefix="0" xfId="0">
      <protection locked="0" hidden="0"/>
    </xf>
    <xf numFmtId="0" fontId="12" fillId="0" borderId="0" pivotButton="0" quotePrefix="0" xfId="0"/>
    <xf numFmtId="1" fontId="0" fillId="3" borderId="1" applyProtection="1" pivotButton="0" quotePrefix="0" xfId="0">
      <protection locked="0" hidden="0"/>
    </xf>
    <xf numFmtId="164" fontId="12" fillId="4" borderId="1" pivotButton="0" quotePrefix="0" xfId="0"/>
    <xf numFmtId="1" fontId="0" fillId="4" borderId="1" pivotButton="0" quotePrefix="0" xfId="0"/>
    <xf numFmtId="2" fontId="0" fillId="4" borderId="1" pivotButton="0" quotePrefix="0" xfId="0"/>
    <xf numFmtId="166" fontId="0" fillId="3" borderId="1" applyProtection="1" pivotButton="0" quotePrefix="0" xfId="0">
      <protection locked="0" hidden="0"/>
    </xf>
    <xf numFmtId="166" fontId="0" fillId="4" borderId="1" pivotButton="0" quotePrefix="0" xfId="0"/>
    <xf numFmtId="1" fontId="12" fillId="4" borderId="1" pivotButton="0" quotePrefix="0" xfId="0"/>
    <xf numFmtId="0" fontId="0" fillId="0" borderId="4" pivotButton="0" quotePrefix="0" xfId="0"/>
    <xf numFmtId="0" fontId="0" fillId="0" borderId="5" pivotButton="0" quotePrefix="0" xfId="0"/>
    <xf numFmtId="167" fontId="0" fillId="4" borderId="1" pivotButton="0" quotePrefix="0" xfId="0"/>
    <xf numFmtId="167" fontId="0" fillId="3" borderId="1" applyProtection="1" pivotButton="0" quotePrefix="0" xfId="0">
      <protection locked="0" hidden="0"/>
    </xf>
    <xf numFmtId="166" fontId="1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Where your fees went</a:t>
            </a:r>
          </a:p>
        </rich>
      </tx>
    </title>
    <plotArea>
      <barChart>
        <barDir val="bar"/>
        <grouping val="clustered"/>
        <ser>
          <idx val="0"/>
          <order val="0"/>
          <tx>
            <strRef>
              <f>'Dashboard'!D30</f>
            </strRef>
          </tx>
          <spPr>
            <a:ln>
              <a:prstDash val="solid"/>
            </a:ln>
          </spPr>
          <cat>
            <numRef>
              <f>'Dashboard'!$A$31:$A$36</f>
            </numRef>
          </cat>
          <val>
            <numRef>
              <f>'Dashboard'!$D$31:$D$36</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quot;$&quot;#,##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Net profit by month</a:t>
            </a:r>
          </a:p>
        </rich>
      </tx>
    </title>
    <plotArea>
      <barChart>
        <barDir val="col"/>
        <grouping val="clustered"/>
        <ser>
          <idx val="0"/>
          <order val="0"/>
          <tx>
            <strRef>
              <f>'Dashboard'!J6</f>
            </strRef>
          </tx>
          <spPr>
            <a:ln>
              <a:prstDash val="solid"/>
            </a:ln>
          </spPr>
          <cat>
            <numRef>
              <f>'Dashboard'!$B$7:$B$18</f>
            </numRef>
          </cat>
          <val>
            <numRef>
              <f>'Dashboard'!$J$7:$J$18</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quot;$&quot;#,##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21</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3</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0F8B7D"/>
    <outlinePr summaryBelow="1" summaryRight="1"/>
    <pageSetUpPr/>
  </sheetPr>
  <dimension ref="B1:C42"/>
  <sheetViews>
    <sheetView workbookViewId="0">
      <selection activeCell="A1" sqref="A1"/>
    </sheetView>
  </sheetViews>
  <sheetFormatPr baseColWidth="8" defaultRowHeight="15"/>
  <cols>
    <col width="3" customWidth="1" min="1" max="1"/>
    <col width="22" customWidth="1" min="2" max="2"/>
    <col width="95" customWidth="1" min="3" max="3"/>
  </cols>
  <sheetData>
    <row r="1">
      <c r="B1" s="1" t="inlineStr">
        <is>
          <t>MarginKite Seller Profit Tracker</t>
        </is>
      </c>
    </row>
    <row r="2">
      <c r="B2" s="2" t="inlineStr">
        <is>
          <t>Fees last checked: 2026-10-21  |  US sellers  |  Etsy + Shopify</t>
        </is>
      </c>
    </row>
    <row r="5">
      <c r="B5" s="3" t="inlineStr">
        <is>
          <t>What it does</t>
        </is>
      </c>
    </row>
    <row r="6">
      <c r="B6" s="4" t="inlineStr"/>
      <c r="C6" s="5" t="inlineStr">
        <is>
          <t>Shows what you really keep from each Etsy or Shopify sale after every fee, product cost and shipping. Compares Etsy and Shopify side by side, tells you the price to charge for a target margin, shows when a Shopify plan pays for itself, and tracks orders, refunds and overhead month by month.</t>
        </is>
      </c>
    </row>
    <row r="8">
      <c r="B8" s="3" t="inlineStr">
        <is>
          <t>Open it</t>
        </is>
      </c>
    </row>
    <row r="9">
      <c r="B9" s="4" t="inlineStr">
        <is>
          <t>Google Sheets</t>
        </is>
      </c>
      <c r="C9" s="5" t="inlineStr">
        <is>
          <t>Upload the .xlsx to Google Drive, open it, then File &gt; Save as Google Sheets. Work in that Google Sheets copy.</t>
        </is>
      </c>
    </row>
    <row r="10">
      <c r="B10" s="4" t="inlineStr">
        <is>
          <t>Excel</t>
        </is>
      </c>
      <c r="C10" s="5" t="inlineStr">
        <is>
          <t>Open the .xlsx in Excel 2016 or newer (Windows or Mac). If you see 'Enable Editing', click it.</t>
        </is>
      </c>
    </row>
    <row r="12">
      <c r="B12" s="3" t="inlineStr">
        <is>
          <t>5 steps to your first result</t>
        </is>
      </c>
    </row>
    <row r="13">
      <c r="B13" s="4" t="inlineStr">
        <is>
          <t>Step 1</t>
        </is>
      </c>
      <c r="C13" s="5" t="inlineStr">
        <is>
          <t>Settings: enter your hourly rate, answer the Etsy $10k question, and pick your Shopify plan, billing and payment provider.</t>
        </is>
      </c>
    </row>
    <row r="14">
      <c r="B14" s="4" t="inlineStr">
        <is>
          <t>Step 2</t>
        </is>
      </c>
      <c r="C14" s="5" t="inlineStr">
        <is>
          <t>Products: type each product with materials, packaging and labour minutes. Unit cost is worked out for you.</t>
        </is>
      </c>
    </row>
    <row r="15">
      <c r="B15" s="4" t="inlineStr">
        <is>
          <t>Step 3</t>
        </is>
      </c>
      <c r="C15" s="5" t="inlineStr">
        <is>
          <t>Price Calculator: pick a product and enter price, shipping charged and shipping cost. Read Etsy vs Shopify profit, the price for your target margin, and when Shopify pays off.</t>
        </is>
      </c>
    </row>
    <row r="16">
      <c r="B16" s="4" t="inlineStr">
        <is>
          <t>Step 4</t>
        </is>
      </c>
      <c r="C16" s="5" t="inlineStr">
        <is>
          <t>Orders Log: add one row per order (yellow columns A-L). Fees and profit fill in automatically.</t>
        </is>
      </c>
    </row>
    <row r="17">
      <c r="B17" s="4" t="inlineStr">
        <is>
          <t>Step 5</t>
        </is>
      </c>
      <c r="C17" s="5" t="inlineStr">
        <is>
          <t>Expenses, then Dashboard: add monthly overhead, set the first month on the Dashboard, and read your monthly profit.</t>
        </is>
      </c>
    </row>
    <row r="19">
      <c r="B19" s="3" t="inlineStr">
        <is>
          <t>Colour key</t>
        </is>
      </c>
    </row>
    <row r="20">
      <c r="B20" s="6" t="inlineStr">
        <is>
          <t>Yellow cell</t>
        </is>
      </c>
      <c r="C20" t="inlineStr">
        <is>
          <t>You type here (inputs).</t>
        </is>
      </c>
    </row>
    <row r="21">
      <c r="B21" s="7" t="inlineStr">
        <is>
          <t>Blue cell</t>
        </is>
      </c>
      <c r="C21" t="inlineStr">
        <is>
          <t>Calculated for you and locked, so it can't be overwritten by accident.</t>
        </is>
      </c>
    </row>
    <row r="22">
      <c r="B22" s="4" t="inlineStr">
        <is>
          <t>Unlocking</t>
        </is>
      </c>
      <c r="C22" s="5" t="inlineStr">
        <is>
          <t>Sheets are protected with NO password. Excel: Review &gt; Unprotect Sheet. Google Sheets: Data &gt; Protect sheets and ranges, then remove the protection. Edit formulas at your own risk.</t>
        </is>
      </c>
    </row>
    <row r="24">
      <c r="B24" s="3" t="inlineStr">
        <is>
          <t>Delete the sample data</t>
        </is>
      </c>
    </row>
    <row r="25">
      <c r="B25" s="4" t="inlineStr"/>
      <c r="C25" s="5" t="inlineStr">
        <is>
          <t>The file ships with 5 sample products, 30 sample orders (Aug-Oct 2026) and 3 months of expenses so you can see it working. To start fresh, select these yellow ranges and press Delete (clear the contents; don't delete rows):</t>
        </is>
      </c>
    </row>
    <row r="26">
      <c r="B26" s="4" t="inlineStr">
        <is>
          <t>Orders Log</t>
        </is>
      </c>
      <c r="C26" s="5" t="inlineStr">
        <is>
          <t>A6:L505</t>
        </is>
      </c>
    </row>
    <row r="27">
      <c r="B27" s="4" t="inlineStr">
        <is>
          <t>Expenses</t>
        </is>
      </c>
      <c r="C27" s="5" t="inlineStr">
        <is>
          <t>A6:F65</t>
        </is>
      </c>
    </row>
    <row r="28">
      <c r="B28" s="4" t="inlineStr">
        <is>
          <t>Products</t>
        </is>
      </c>
      <c r="C28" s="5" t="inlineStr">
        <is>
          <t>A5:D54 (after the orders, so nothing points at a missing product)</t>
        </is>
      </c>
    </row>
    <row r="29">
      <c r="B29" s="4" t="inlineStr">
        <is>
          <t>Dashboard</t>
        </is>
      </c>
      <c r="C29" s="5" t="inlineStr">
        <is>
          <t>Set 'First month to show' (C4) to your first month.</t>
        </is>
      </c>
    </row>
    <row r="30">
      <c r="B30" s="4" t="inlineStr">
        <is>
          <t>Price Calculator</t>
        </is>
      </c>
      <c r="C30" s="5" t="inlineStr">
        <is>
          <t>Pick one of your own products in C4.</t>
        </is>
      </c>
    </row>
    <row r="32">
      <c r="B32" s="3" t="inlineStr">
        <is>
          <t>Good to know</t>
        </is>
      </c>
    </row>
    <row r="33">
      <c r="B33" s="4" t="inlineStr">
        <is>
          <t>Sales tax</t>
        </is>
      </c>
      <c r="C33" s="5" t="inlineStr">
        <is>
          <t>Etsy collects US sales tax for you. It isn't your revenue, so leave it out of every amount.</t>
        </is>
      </c>
    </row>
    <row r="34">
      <c r="B34" s="4" t="inlineStr">
        <is>
          <t>Refunds</t>
        </is>
      </c>
      <c r="C34" s="5" t="inlineStr">
        <is>
          <t>Mark Refunded = Y. Leave 'Partial refund $' blank for a full refund. 'Etsy fees credited back?' = Y credits Etsy's % fees in proportion to the refund (see the RULE rows on Settings).</t>
        </is>
      </c>
    </row>
    <row r="35">
      <c r="B35" s="4" t="inlineStr">
        <is>
          <t>Offsite Ads</t>
        </is>
      </c>
      <c r="C35" s="5" t="inlineStr">
        <is>
          <t>Set Y only on orders Etsy says came from an Offsite Ad. The 15%/12% rate and the $100 cap come from Settings.</t>
        </is>
      </c>
    </row>
    <row r="36">
      <c r="B36" s="4" t="inlineStr">
        <is>
          <t>Fee changes</t>
        </is>
      </c>
      <c r="C36" s="5" t="inlineStr">
        <is>
          <t>Every rate lives in the Settings fee table with its date, source and status. Update a value there and the whole workbook follows. Rows marked UNVERIFIED or ASSUMPTION are best estimates.</t>
        </is>
      </c>
    </row>
    <row r="38">
      <c r="B38" s="3" t="inlineStr">
        <is>
          <t>Disclaimer</t>
        </is>
      </c>
    </row>
    <row r="39">
      <c r="B39" s="4" t="inlineStr"/>
      <c r="C39" s="5" t="inlineStr">
        <is>
          <t>All figures are estimates. Fees as of 2026-10-21; Etsy fees are not yet verified against Etsy's own fee page. Check your own Etsy and Shopify statements. This is not tax or accounting advice.</t>
        </is>
      </c>
    </row>
    <row r="41">
      <c r="B41" s="3" t="inlineStr">
        <is>
          <t>Made with AI</t>
        </is>
      </c>
    </row>
    <row r="42">
      <c r="B42" s="4" t="inlineStr"/>
      <c r="C42" s="5" t="inlineStr">
        <is>
          <t>MarginKite is a small shop. AI helped design and build this template; every formula was checked against hand-worked examples before release.</t>
        </is>
      </c>
    </row>
  </sheetData>
  <sheetProtection selectLockedCells="0" selectUnlockedCells="0" sheet="1" objects="0" insertRows="1" insertHyperlinks="1" autoFilter="1" scenarios="0" formatColumns="0" deleteColumns="1" insertColumns="1" pivotTables="1" deleteRows="1" formatCells="0" formatRows="0" sort="1"/>
  <mergeCells count="1">
    <mergeCell ref="B2:C2"/>
  </mergeCells>
  <pageMargins left="0.75" right="0.75" top="1" bottom="1" header="0.5" footer="0.5"/>
</worksheet>
</file>

<file path=xl/worksheets/sheet2.xml><?xml version="1.0" encoding="utf-8"?>
<worksheet xmlns="http://schemas.openxmlformats.org/spreadsheetml/2006/main">
  <sheetPr>
    <tabColor rgb="007F7F7F"/>
    <outlinePr summaryBelow="1" summaryRight="1"/>
    <pageSetUpPr/>
  </sheetPr>
  <dimension ref="A1:I60"/>
  <sheetViews>
    <sheetView workbookViewId="0">
      <pane ySplit="3" topLeftCell="A4" activePane="bottomLeft" state="frozen"/>
      <selection pane="bottomLeft" activeCell="A1" sqref="A1"/>
    </sheetView>
  </sheetViews>
  <sheetFormatPr baseColWidth="8" defaultRowHeight="15"/>
  <cols>
    <col width="26" customWidth="1" min="1" max="1"/>
    <col width="52" customWidth="1" min="2" max="2"/>
    <col width="14" customWidth="1" min="3" max="3"/>
    <col width="22" customWidth="1" min="4" max="4"/>
    <col width="12" customWidth="1" min="5" max="5"/>
    <col width="44" customWidth="1" min="6" max="6"/>
    <col width="13" customWidth="1" min="7" max="7"/>
    <col width="12" customWidth="1" min="8" max="8"/>
    <col width="80" customWidth="1" min="9" max="9"/>
  </cols>
  <sheetData>
    <row r="1">
      <c r="A1" s="8" t="inlineStr">
        <is>
          <t>Settings</t>
        </is>
      </c>
    </row>
    <row r="2">
      <c r="A2" s="9" t="inlineStr">
        <is>
          <t>Fees as of 2026-10-21. Estimates only - check your own Etsy and Shopify statements.</t>
        </is>
      </c>
    </row>
    <row r="4">
      <c r="A4" s="10" t="inlineStr">
        <is>
          <t>YOUR SETTINGS</t>
        </is>
      </c>
    </row>
    <row r="5">
      <c r="B5" s="11" t="inlineStr">
        <is>
          <t>Your hourly rate for labour ($/hour)</t>
        </is>
      </c>
      <c r="C5" s="12" t="n">
        <v>18</v>
      </c>
      <c r="D5" s="9" t="inlineStr">
        <is>
          <t>Used on the Products tab to cost your time.</t>
        </is>
      </c>
    </row>
    <row r="6">
      <c r="B6" s="11" t="inlineStr">
        <is>
          <t>Etsy sales in the last 12 months $10,000 or more? (Y/N)</t>
        </is>
      </c>
      <c r="C6" s="13" t="inlineStr">
        <is>
          <t>N</t>
        </is>
      </c>
      <c r="D6" s="9" t="inlineStr">
        <is>
          <t>Sets the Offsite Ads rate: N = 15%, Y = 12%.</t>
        </is>
      </c>
    </row>
    <row r="7">
      <c r="B7" s="11" t="inlineStr">
        <is>
          <t>Shopify plan</t>
        </is>
      </c>
      <c r="C7" s="13" t="inlineStr">
        <is>
          <t>Basic</t>
        </is>
      </c>
      <c r="D7" s="9" t="inlineStr">
        <is>
          <t>Basic, Grow, Advanced or Plus.</t>
        </is>
      </c>
    </row>
    <row r="8">
      <c r="B8" s="11" t="inlineStr">
        <is>
          <t>Shopify billing</t>
        </is>
      </c>
      <c r="C8" s="13" t="inlineStr">
        <is>
          <t>Monthly</t>
        </is>
      </c>
      <c r="D8" s="9" t="inlineStr">
        <is>
          <t>Monthly or Yearly (yearly is cheaper per month).</t>
        </is>
      </c>
    </row>
    <row r="9">
      <c r="B9" s="11" t="inlineStr">
        <is>
          <t>Payment provider on Shopify</t>
        </is>
      </c>
      <c r="C9" s="13" t="inlineStr">
        <is>
          <t>Shopify Payments</t>
        </is>
      </c>
      <c r="D9" s="9" t="inlineStr">
        <is>
          <t>Third-party adds Shopify's extra fee on top of your provider's fee.</t>
        </is>
      </c>
    </row>
    <row r="11">
      <c r="A11" s="10" t="inlineStr">
        <is>
          <t>CALCULATED FROM YOUR SETTINGS</t>
        </is>
      </c>
    </row>
    <row r="12">
      <c r="B12" s="11" t="inlineStr">
        <is>
          <t>Etsy Offsite Ads rate in use</t>
        </is>
      </c>
      <c r="C12" s="14">
        <f>IF($C$6="Y",$C$24,$C$23)</f>
        <v/>
      </c>
    </row>
    <row r="13">
      <c r="B13" s="11" t="inlineStr">
        <is>
          <t>Shopify plan cost per month (plan + billing)</t>
        </is>
      </c>
      <c r="C13" s="15">
        <f>INDEX($C$19:$C$60,MATCH("Shopify|"&amp;$C$7&amp;"|"&amp;$C$8,$A$19:$A$60,0))</f>
        <v/>
      </c>
    </row>
    <row r="14">
      <c r="B14" s="11" t="inlineStr">
        <is>
          <t>Shopify % fee per order in use</t>
        </is>
      </c>
      <c r="C14" s="14">
        <f>IF($C$9="Shopify Payments",INDEX($C$19:$C$60,MATCH("Shopify|"&amp;$C$7&amp;"|"&amp;"Card %",$A$19:$A$60,0)),$C$52+INDEX($C$19:$C$60,MATCH("Shopify|"&amp;$C$7&amp;"|"&amp;"Third-party %",$A$19:$A$60,0)))</f>
        <v/>
      </c>
    </row>
    <row r="15">
      <c r="B15" s="11" t="inlineStr">
        <is>
          <t>Shopify fixed fee per order in use</t>
        </is>
      </c>
      <c r="C15" s="15">
        <f>IF($C$9="Shopify Payments",INDEX($C$19:$C$60,MATCH("Shopify|"&amp;$C$7&amp;"|"&amp;"Card fixed",$A$19:$A$60,0)),$C$53)</f>
        <v/>
      </c>
    </row>
    <row r="17">
      <c r="A17" s="10" t="inlineStr">
        <is>
          <t>FEE TABLE - every rate the workbook uses. Edit Value / As of / Source / Status when fees change.</t>
        </is>
      </c>
    </row>
    <row r="18">
      <c r="A18" s="16" t="inlineStr">
        <is>
          <t>Key (don't edit)</t>
        </is>
      </c>
      <c r="B18" s="16" t="inlineStr">
        <is>
          <t>Fee</t>
        </is>
      </c>
      <c r="C18" s="16" t="inlineStr">
        <is>
          <t>Value</t>
        </is>
      </c>
      <c r="D18" s="16" t="inlineStr">
        <is>
          <t>Unit</t>
        </is>
      </c>
      <c r="E18" s="16" t="inlineStr">
        <is>
          <t>As of</t>
        </is>
      </c>
      <c r="F18" s="16" t="inlineStr">
        <is>
          <t>Source</t>
        </is>
      </c>
      <c r="G18" s="16" t="inlineStr">
        <is>
          <t>Status</t>
        </is>
      </c>
      <c r="H18" s="16" t="inlineStr">
        <is>
          <t>Used in formulas?</t>
        </is>
      </c>
      <c r="I18" s="16" t="inlineStr">
        <is>
          <t>Notes</t>
        </is>
      </c>
    </row>
    <row r="19">
      <c r="A19" s="17" t="inlineStr">
        <is>
          <t>ETSY_LISTING</t>
        </is>
      </c>
      <c r="B19" t="inlineStr">
        <is>
          <t>Etsy listing fee</t>
        </is>
      </c>
      <c r="C19" s="12" t="n">
        <v>0.2</v>
      </c>
      <c r="D19" t="inlineStr">
        <is>
          <t>$ per unit sold</t>
        </is>
      </c>
      <c r="E19" s="18" t="n">
        <v>46316</v>
      </c>
      <c r="F19" s="13" t="inlineStr">
        <is>
          <t>https://checkoutpage.com/blog/etsy-fees ; https://www.listadum.com/etsy-fee-calculator</t>
        </is>
      </c>
      <c r="G19" s="19" t="inlineStr">
        <is>
          <t>UNVERIFIED</t>
        </is>
      </c>
      <c r="H19" t="inlineStr">
        <is>
          <t>Yes</t>
        </is>
      </c>
      <c r="I19" s="20" t="inlineStr">
        <is>
          <t>Renews when an item sells, again for each extra unit. ASSUMPTION (conservative): $0.20 x quantity on every Etsy order. Official page to check: https://www.etsy.com/legal/fees/</t>
        </is>
      </c>
    </row>
    <row r="20">
      <c r="A20" s="17" t="inlineStr">
        <is>
          <t>ETSY_TXN</t>
        </is>
      </c>
      <c r="B20" t="inlineStr">
        <is>
          <t>Etsy transaction fee</t>
        </is>
      </c>
      <c r="C20" s="21" t="n">
        <v>0.065</v>
      </c>
      <c r="D20" t="inlineStr">
        <is>
          <t>of item price + shipping</t>
        </is>
      </c>
      <c r="E20" s="18" t="n">
        <v>46316</v>
      </c>
      <c r="F20" s="13" t="inlineStr">
        <is>
          <t>https://checkoutpage.com/blog/etsy-fees ; https://craftybase.com/etsy-fee-calculator</t>
        </is>
      </c>
      <c r="G20" s="19" t="inlineStr">
        <is>
          <t>UNVERIFIED</t>
        </is>
      </c>
      <c r="H20" t="inlineStr">
        <is>
          <t>Yes</t>
        </is>
      </c>
      <c r="I20" s="20" t="inlineStr">
        <is>
          <t>Charged on item price plus shipping (and gift wrap). Official page to check: https://www.etsy.com/legal/fees/</t>
        </is>
      </c>
    </row>
    <row r="21">
      <c r="A21" s="17" t="inlineStr">
        <is>
          <t>ETSY_PROC_PCT</t>
        </is>
      </c>
      <c r="B21" t="inlineStr">
        <is>
          <t>Etsy payment processing (US) - percent</t>
        </is>
      </c>
      <c r="C21" s="21" t="n">
        <v>0.03</v>
      </c>
      <c r="D21" t="inlineStr">
        <is>
          <t>of order total</t>
        </is>
      </c>
      <c r="E21" s="18" t="n">
        <v>46316</v>
      </c>
      <c r="F21" s="13" t="inlineStr">
        <is>
          <t>https://checkoutpage.com/blog/etsy-fees ; https://craftybase.com/etsy-fee-calculator</t>
        </is>
      </c>
      <c r="G21" s="19" t="inlineStr">
        <is>
          <t>UNVERIFIED</t>
        </is>
      </c>
      <c r="H21" t="inlineStr">
        <is>
          <t>Yes</t>
        </is>
      </c>
      <c r="I21" s="20" t="inlineStr">
        <is>
          <t>Charged on the order total, including sales tax (see the sales tax rate below).</t>
        </is>
      </c>
    </row>
    <row r="22">
      <c r="A22" s="17" t="inlineStr">
        <is>
          <t>ETSY_PROC_FIXED</t>
        </is>
      </c>
      <c r="B22" t="inlineStr">
        <is>
          <t>Etsy payment processing (US) - fixed</t>
        </is>
      </c>
      <c r="C22" s="12" t="n">
        <v>0.25</v>
      </c>
      <c r="D22" t="inlineStr">
        <is>
          <t>$ per order</t>
        </is>
      </c>
      <c r="E22" s="18" t="n">
        <v>46316</v>
      </c>
      <c r="F22" s="13" t="inlineStr">
        <is>
          <t>https://checkoutpage.com/blog/etsy-fees ; https://craftybase.com/etsy-fee-calculator</t>
        </is>
      </c>
      <c r="G22" s="19" t="inlineStr">
        <is>
          <t>UNVERIFIED</t>
        </is>
      </c>
      <c r="H22" t="inlineStr">
        <is>
          <t>Yes</t>
        </is>
      </c>
      <c r="I22" s="20" t="inlineStr"/>
    </row>
    <row r="23">
      <c r="A23" s="17" t="inlineStr">
        <is>
          <t>ETSY_OFFSITE_15</t>
        </is>
      </c>
      <c r="B23" t="inlineStr">
        <is>
          <t>Etsy Offsite Ads - shop under $10k / 12 months</t>
        </is>
      </c>
      <c r="C23" s="21" t="n">
        <v>0.15</v>
      </c>
      <c r="D23" t="inlineStr">
        <is>
          <t>of attributed order</t>
        </is>
      </c>
      <c r="E23" s="18" t="n">
        <v>46316</v>
      </c>
      <c r="F23" s="13" t="inlineStr">
        <is>
          <t>https://checkoutpage.com/blog/etsy-fees ; https://blog.marmalead.com/etsy-vs-shopify/</t>
        </is>
      </c>
      <c r="G23" s="19" t="inlineStr">
        <is>
          <t>UNVERIFIED</t>
        </is>
      </c>
      <c r="H23" t="inlineStr">
        <is>
          <t>Yes</t>
        </is>
      </c>
      <c r="I23" s="20" t="inlineStr">
        <is>
          <t>Used when you answer N to the $10k question above. Opt-out allowed.</t>
        </is>
      </c>
    </row>
    <row r="24">
      <c r="A24" s="17" t="inlineStr">
        <is>
          <t>ETSY_OFFSITE_12</t>
        </is>
      </c>
      <c r="B24" t="inlineStr">
        <is>
          <t>Etsy Offsite Ads - shop at $10k+ / 12 months</t>
        </is>
      </c>
      <c r="C24" s="21" t="n">
        <v>0.12</v>
      </c>
      <c r="D24" t="inlineStr">
        <is>
          <t>of attributed order</t>
        </is>
      </c>
      <c r="E24" s="18" t="n">
        <v>46316</v>
      </c>
      <c r="F24" s="13" t="inlineStr">
        <is>
          <t>https://checkoutpage.com/blog/etsy-fees ; https://blog.marmalead.com/etsy-vs-shopify/</t>
        </is>
      </c>
      <c r="G24" s="19" t="inlineStr">
        <is>
          <t>UNVERIFIED</t>
        </is>
      </c>
      <c r="H24" t="inlineStr">
        <is>
          <t>Yes</t>
        </is>
      </c>
      <c r="I24" s="20" t="inlineStr">
        <is>
          <t>Used when you answer Y to the $10k question above. Mandatory at this level.</t>
        </is>
      </c>
    </row>
    <row r="25">
      <c r="A25" s="17" t="inlineStr">
        <is>
          <t>ETSY_OFFSITE_CAP</t>
        </is>
      </c>
      <c r="B25" t="inlineStr">
        <is>
          <t>Etsy Offsite Ads - cap per order</t>
        </is>
      </c>
      <c r="C25" s="12" t="n">
        <v>100</v>
      </c>
      <c r="D25" t="inlineStr">
        <is>
          <t>$ max per order</t>
        </is>
      </c>
      <c r="E25" s="18" t="n">
        <v>46316</v>
      </c>
      <c r="F25" s="13" t="inlineStr">
        <is>
          <t>https://checkoutpage.com/blog/etsy-fees ; https://blog.marmalead.com/etsy-vs-shopify/</t>
        </is>
      </c>
      <c r="G25" s="19" t="inlineStr">
        <is>
          <t>UNVERIFIED</t>
        </is>
      </c>
      <c r="H25" t="inlineStr">
        <is>
          <t>Yes</t>
        </is>
      </c>
      <c r="I25" s="20" t="inlineStr"/>
    </row>
    <row r="26">
      <c r="A26" s="17" t="inlineStr">
        <is>
          <t>ETSY_OFFSITE_THRESHOLD</t>
        </is>
      </c>
      <c r="B26" t="inlineStr">
        <is>
          <t>Etsy Offsite Ads - sales threshold</t>
        </is>
      </c>
      <c r="C26" s="12" t="n">
        <v>10000</v>
      </c>
      <c r="D26" t="inlineStr">
        <is>
          <t>$ in last 12 months</t>
        </is>
      </c>
      <c r="E26" s="18" t="n">
        <v>46316</v>
      </c>
      <c r="F26" s="13" t="inlineStr">
        <is>
          <t>https://checkoutpage.com/blog/etsy-fees ; https://blog.marmalead.com/etsy-vs-shopify/</t>
        </is>
      </c>
      <c r="G26" s="19" t="inlineStr">
        <is>
          <t>UNVERIFIED</t>
        </is>
      </c>
      <c r="H26" t="inlineStr">
        <is>
          <t>Info</t>
        </is>
      </c>
      <c r="I26" s="20" t="inlineStr">
        <is>
          <t>For reference: you answer the Y/N question above.</t>
        </is>
      </c>
    </row>
    <row r="27">
      <c r="A27" s="17" t="inlineStr">
        <is>
          <t>ETSY_REG_FEE</t>
        </is>
      </c>
      <c r="B27" t="inlineStr">
        <is>
          <t>Etsy Regulatory Operating Fee (US)</t>
        </is>
      </c>
      <c r="C27" s="21" t="n">
        <v>0</v>
      </c>
      <c r="D27" t="inlineStr">
        <is>
          <t>none for US sellers</t>
        </is>
      </c>
      <c r="E27" s="18" t="n">
        <v>46316</v>
      </c>
      <c r="F27" s="13" t="inlineStr">
        <is>
          <t>https://checkoutpage.com/blog/etsy-fees ; https://craftybase.com/etsy-fee-calculator</t>
        </is>
      </c>
      <c r="G27" s="19" t="inlineStr">
        <is>
          <t>UNVERIFIED</t>
        </is>
      </c>
      <c r="H27" t="inlineStr">
        <is>
          <t>No</t>
        </is>
      </c>
      <c r="I27" s="20" t="inlineStr">
        <is>
          <t>Applies only in some other countries (e.g. UK). Not modeled in v1 (US only).</t>
        </is>
      </c>
    </row>
    <row r="28">
      <c r="A28" s="17" t="inlineStr">
        <is>
          <t>ETSY_CURRENCY</t>
        </is>
      </c>
      <c r="B28" t="inlineStr">
        <is>
          <t>Etsy currency conversion</t>
        </is>
      </c>
      <c r="C28" s="21" t="n">
        <v>0.025</v>
      </c>
      <c r="D28" t="inlineStr">
        <is>
          <t>only if currencies differ</t>
        </is>
      </c>
      <c r="E28" s="18" t="n">
        <v>46316</v>
      </c>
      <c r="F28" s="13" t="inlineStr">
        <is>
          <t>Prior knowledge, not checked this session</t>
        </is>
      </c>
      <c r="G28" s="19" t="inlineStr">
        <is>
          <t>UNVERIFIED</t>
        </is>
      </c>
      <c r="H28" t="inlineStr">
        <is>
          <t>No</t>
        </is>
      </c>
      <c r="I28" s="20" t="inlineStr">
        <is>
          <t>Not modeled: US sellers listing in USD with a USD account don't pay it.</t>
        </is>
      </c>
    </row>
    <row r="29">
      <c r="A29" s="17" t="inlineStr">
        <is>
          <t>ETSY_PLUS</t>
        </is>
      </c>
      <c r="B29" t="inlineStr">
        <is>
          <t>Etsy Plus subscription (optional)</t>
        </is>
      </c>
      <c r="C29" s="12" t="n">
        <v>10</v>
      </c>
      <c r="D29" t="inlineStr">
        <is>
          <t>$ per month</t>
        </is>
      </c>
      <c r="E29" s="18" t="n">
        <v>46316</v>
      </c>
      <c r="F29" s="13" t="inlineStr">
        <is>
          <t>Prior knowledge, not checked this session</t>
        </is>
      </c>
      <c r="G29" s="19" t="inlineStr">
        <is>
          <t>UNVERIFIED</t>
        </is>
      </c>
      <c r="H29" t="inlineStr">
        <is>
          <t>No</t>
        </is>
      </c>
      <c r="I29" s="20" t="inlineStr">
        <is>
          <t>If you subscribe, add it on the Expenses tab.</t>
        </is>
      </c>
    </row>
    <row r="30">
      <c r="A30" s="17" t="inlineStr">
        <is>
          <t>ETSY_ADS</t>
        </is>
      </c>
      <c r="B30" t="inlineStr">
        <is>
          <t>Etsy Ads (onsite)</t>
        </is>
      </c>
      <c r="C30" s="22" t="inlineStr">
        <is>
          <t>Your spend</t>
        </is>
      </c>
      <c r="D30" t="inlineStr">
        <is>
          <t>daily budget you set</t>
        </is>
      </c>
      <c r="E30" s="18" t="n">
        <v>46316</v>
      </c>
      <c r="F30" s="13" t="inlineStr">
        <is>
          <t>https://www.listadum.com/etsy-fee-calculator</t>
        </is>
      </c>
      <c r="G30" s="19" t="inlineStr">
        <is>
          <t>UNVERIFIED</t>
        </is>
      </c>
      <c r="H30" t="inlineStr">
        <is>
          <t>Expenses tab</t>
        </is>
      </c>
      <c r="I30" s="20" t="inlineStr">
        <is>
          <t>Enter your monthly spend on the Expenses tab.</t>
        </is>
      </c>
    </row>
    <row r="31">
      <c r="A31" s="17" t="inlineStr">
        <is>
          <t>ETSY_SHARE_SAVE</t>
        </is>
      </c>
      <c r="B31" t="inlineStr">
        <is>
          <t>Etsy Share &amp; Save credit</t>
        </is>
      </c>
      <c r="C31" s="22" t="inlineStr">
        <is>
          <t>Not modeled</t>
        </is>
      </c>
      <c r="D31" t="inlineStr">
        <is>
          <t>rate not confirmed</t>
        </is>
      </c>
      <c r="E31" s="18" t="n">
        <v>46316</v>
      </c>
      <c r="F31" s="13" t="inlineStr">
        <is>
          <t>Competitor listing snippet</t>
        </is>
      </c>
      <c r="G31" s="19" t="inlineStr">
        <is>
          <t>UNVERIFIED</t>
        </is>
      </c>
      <c r="H31" t="inlineStr">
        <is>
          <t>No</t>
        </is>
      </c>
      <c r="I31" s="20" t="inlineStr">
        <is>
          <t>A credit to you; leaving it out understates profit slightly.</t>
        </is>
      </c>
    </row>
    <row r="32">
      <c r="A32" s="17" t="inlineStr">
        <is>
          <t>Shopify|Basic|Monthly</t>
        </is>
      </c>
      <c r="B32" t="inlineStr">
        <is>
          <t>Shopify Basic plan - billed monthly</t>
        </is>
      </c>
      <c r="C32" s="12" t="n">
        <v>27</v>
      </c>
      <c r="D32" t="inlineStr">
        <is>
          <t>$ per month</t>
        </is>
      </c>
      <c r="E32" s="18" t="n">
        <v>46316</v>
      </c>
      <c r="F32" s="13" t="inlineStr">
        <is>
          <t>https://www.shopify.com/pricing</t>
        </is>
      </c>
      <c r="G32" s="23" t="inlineStr">
        <is>
          <t>VERIFIED</t>
        </is>
      </c>
      <c r="H32" t="inlineStr">
        <is>
          <t>Yes</t>
        </is>
      </c>
      <c r="I32" s="20" t="inlineStr"/>
    </row>
    <row r="33">
      <c r="A33" s="17" t="inlineStr">
        <is>
          <t>Shopify|Basic|Yearly</t>
        </is>
      </c>
      <c r="B33" t="inlineStr">
        <is>
          <t>Shopify Basic plan - billed yearly</t>
        </is>
      </c>
      <c r="C33" s="12" t="n">
        <v>19</v>
      </c>
      <c r="D33" t="inlineStr">
        <is>
          <t>$ per month</t>
        </is>
      </c>
      <c r="E33" s="18" t="n">
        <v>46316</v>
      </c>
      <c r="F33" s="13" t="inlineStr">
        <is>
          <t>https://www.shopify.com/pricing</t>
        </is>
      </c>
      <c r="G33" s="23" t="inlineStr">
        <is>
          <t>VERIFIED</t>
        </is>
      </c>
      <c r="H33" t="inlineStr">
        <is>
          <t>Yes</t>
        </is>
      </c>
      <c r="I33" s="20" t="inlineStr"/>
    </row>
    <row r="34">
      <c r="A34" s="17" t="inlineStr">
        <is>
          <t>Shopify|Basic|Card %</t>
        </is>
      </c>
      <c r="B34" t="inlineStr">
        <is>
          <t>Shopify Payments online card rate - Basic</t>
        </is>
      </c>
      <c r="C34" s="21" t="n">
        <v>0.029</v>
      </c>
      <c r="D34" t="inlineStr">
        <is>
          <t>of order total</t>
        </is>
      </c>
      <c r="E34" s="18" t="n">
        <v>46316</v>
      </c>
      <c r="F34" s="13" t="inlineStr">
        <is>
          <t>https://www.shopify.com/pricing (search index) ; https://qualimero.com/en/blog/shopify-transaction-fees</t>
        </is>
      </c>
      <c r="G34" s="19" t="inlineStr">
        <is>
          <t>UNVERIFIED</t>
        </is>
      </c>
      <c r="H34" t="inlineStr">
        <is>
          <t>Yes</t>
        </is>
      </c>
      <c r="I34" s="20" t="inlineStr">
        <is>
          <t>Check Settings &gt; Payments in your Shopify admin.</t>
        </is>
      </c>
    </row>
    <row r="35">
      <c r="A35" s="17" t="inlineStr">
        <is>
          <t>Shopify|Basic|Card fixed</t>
        </is>
      </c>
      <c r="B35" t="inlineStr">
        <is>
          <t>Shopify Payments fixed fee - Basic</t>
        </is>
      </c>
      <c r="C35" s="12" t="n">
        <v>0.3</v>
      </c>
      <c r="D35" t="inlineStr">
        <is>
          <t>$ per order</t>
        </is>
      </c>
      <c r="E35" s="18" t="n">
        <v>46316</v>
      </c>
      <c r="F35" s="13" t="inlineStr">
        <is>
          <t>https://www.shopify.com/pricing (search index) ; https://qualimero.com/en/blog/shopify-transaction-fees</t>
        </is>
      </c>
      <c r="G35" s="19" t="inlineStr">
        <is>
          <t>UNVERIFIED</t>
        </is>
      </c>
      <c r="H35" t="inlineStr">
        <is>
          <t>Yes</t>
        </is>
      </c>
      <c r="I35" s="20" t="inlineStr"/>
    </row>
    <row r="36">
      <c r="A36" s="17" t="inlineStr">
        <is>
          <t>Shopify|Basic|Third-party %</t>
        </is>
      </c>
      <c r="B36" t="inlineStr">
        <is>
          <t>Shopify fee if NOT using Shopify Payments - Basic</t>
        </is>
      </c>
      <c r="C36" s="21" t="n">
        <v>0.02</v>
      </c>
      <c r="D36" t="inlineStr">
        <is>
          <t>of order total</t>
        </is>
      </c>
      <c r="E36" s="18" t="n">
        <v>46316</v>
      </c>
      <c r="F36" s="13" t="inlineStr">
        <is>
          <t>https://www.shopify.com/pricing</t>
        </is>
      </c>
      <c r="G36" s="23" t="inlineStr">
        <is>
          <t>VERIFIED</t>
        </is>
      </c>
      <c r="H36" t="inlineStr">
        <is>
          <t>Yes</t>
        </is>
      </c>
      <c r="I36" s="20" t="inlineStr">
        <is>
          <t>Charged by Shopify on top of your provider's own fee.</t>
        </is>
      </c>
    </row>
    <row r="37">
      <c r="A37" s="17" t="inlineStr">
        <is>
          <t>Shopify|Grow|Monthly</t>
        </is>
      </c>
      <c r="B37" t="inlineStr">
        <is>
          <t>Shopify Grow plan - billed monthly</t>
        </is>
      </c>
      <c r="C37" s="12" t="n">
        <v>72</v>
      </c>
      <c r="D37" t="inlineStr">
        <is>
          <t>$ per month</t>
        </is>
      </c>
      <c r="E37" s="18" t="n">
        <v>46316</v>
      </c>
      <c r="F37" s="13" t="inlineStr">
        <is>
          <t>https://www.shopify.com/pricing</t>
        </is>
      </c>
      <c r="G37" s="23" t="inlineStr">
        <is>
          <t>VERIFIED</t>
        </is>
      </c>
      <c r="H37" t="inlineStr">
        <is>
          <t>Yes</t>
        </is>
      </c>
      <c r="I37" s="20" t="inlineStr"/>
    </row>
    <row r="38">
      <c r="A38" s="17" t="inlineStr">
        <is>
          <t>Shopify|Grow|Yearly</t>
        </is>
      </c>
      <c r="B38" t="inlineStr">
        <is>
          <t>Shopify Grow plan - billed yearly</t>
        </is>
      </c>
      <c r="C38" s="12" t="n">
        <v>54</v>
      </c>
      <c r="D38" t="inlineStr">
        <is>
          <t>$ per month</t>
        </is>
      </c>
      <c r="E38" s="18" t="n">
        <v>46316</v>
      </c>
      <c r="F38" s="13" t="inlineStr">
        <is>
          <t>https://www.shopify.com/pricing</t>
        </is>
      </c>
      <c r="G38" s="23" t="inlineStr">
        <is>
          <t>VERIFIED</t>
        </is>
      </c>
      <c r="H38" t="inlineStr">
        <is>
          <t>Yes</t>
        </is>
      </c>
      <c r="I38" s="20" t="inlineStr"/>
    </row>
    <row r="39">
      <c r="A39" s="17" t="inlineStr">
        <is>
          <t>Shopify|Grow|Card %</t>
        </is>
      </c>
      <c r="B39" t="inlineStr">
        <is>
          <t>Shopify Payments online card rate - Grow</t>
        </is>
      </c>
      <c r="C39" s="21" t="n">
        <v>0.027</v>
      </c>
      <c r="D39" t="inlineStr">
        <is>
          <t>of order total</t>
        </is>
      </c>
      <c r="E39" s="18" t="n">
        <v>46316</v>
      </c>
      <c r="F39" s="13" t="inlineStr">
        <is>
          <t>https://www.shopify.com/pricing (search index) ; https://qualimero.com/en/blog/shopify-transaction-fees</t>
        </is>
      </c>
      <c r="G39" s="19" t="inlineStr">
        <is>
          <t>UNVERIFIED</t>
        </is>
      </c>
      <c r="H39" t="inlineStr">
        <is>
          <t>Yes</t>
        </is>
      </c>
      <c r="I39" s="20" t="inlineStr">
        <is>
          <t>Check Settings &gt; Payments in your Shopify admin. Some sources say 2.6%; higher figure used (conservative).</t>
        </is>
      </c>
    </row>
    <row r="40">
      <c r="A40" s="17" t="inlineStr">
        <is>
          <t>Shopify|Grow|Card fixed</t>
        </is>
      </c>
      <c r="B40" t="inlineStr">
        <is>
          <t>Shopify Payments fixed fee - Grow</t>
        </is>
      </c>
      <c r="C40" s="12" t="n">
        <v>0.3</v>
      </c>
      <c r="D40" t="inlineStr">
        <is>
          <t>$ per order</t>
        </is>
      </c>
      <c r="E40" s="18" t="n">
        <v>46316</v>
      </c>
      <c r="F40" s="13" t="inlineStr">
        <is>
          <t>https://www.shopify.com/pricing (search index) ; https://qualimero.com/en/blog/shopify-transaction-fees</t>
        </is>
      </c>
      <c r="G40" s="19" t="inlineStr">
        <is>
          <t>UNVERIFIED</t>
        </is>
      </c>
      <c r="H40" t="inlineStr">
        <is>
          <t>Yes</t>
        </is>
      </c>
      <c r="I40" s="20" t="inlineStr"/>
    </row>
    <row r="41">
      <c r="A41" s="17" t="inlineStr">
        <is>
          <t>Shopify|Grow|Third-party %</t>
        </is>
      </c>
      <c r="B41" t="inlineStr">
        <is>
          <t>Shopify fee if NOT using Shopify Payments - Grow</t>
        </is>
      </c>
      <c r="C41" s="21" t="n">
        <v>0.01</v>
      </c>
      <c r="D41" t="inlineStr">
        <is>
          <t>of order total</t>
        </is>
      </c>
      <c r="E41" s="18" t="n">
        <v>46316</v>
      </c>
      <c r="F41" s="13" t="inlineStr">
        <is>
          <t>https://www.shopify.com/pricing</t>
        </is>
      </c>
      <c r="G41" s="23" t="inlineStr">
        <is>
          <t>VERIFIED</t>
        </is>
      </c>
      <c r="H41" t="inlineStr">
        <is>
          <t>Yes</t>
        </is>
      </c>
      <c r="I41" s="20" t="inlineStr">
        <is>
          <t>Charged by Shopify on top of your provider's own fee.</t>
        </is>
      </c>
    </row>
    <row r="42">
      <c r="A42" s="17" t="inlineStr">
        <is>
          <t>Shopify|Advanced|Monthly</t>
        </is>
      </c>
      <c r="B42" t="inlineStr">
        <is>
          <t>Shopify Advanced plan - billed monthly</t>
        </is>
      </c>
      <c r="C42" s="12" t="n">
        <v>399</v>
      </c>
      <c r="D42" t="inlineStr">
        <is>
          <t>$ per month</t>
        </is>
      </c>
      <c r="E42" s="18" t="n">
        <v>46316</v>
      </c>
      <c r="F42" s="13" t="inlineStr">
        <is>
          <t>https://www.shopify.com/pricing</t>
        </is>
      </c>
      <c r="G42" s="23" t="inlineStr">
        <is>
          <t>VERIFIED</t>
        </is>
      </c>
      <c r="H42" t="inlineStr">
        <is>
          <t>Yes</t>
        </is>
      </c>
      <c r="I42" s="20" t="inlineStr"/>
    </row>
    <row r="43">
      <c r="A43" s="17" t="inlineStr">
        <is>
          <t>Shopify|Advanced|Yearly</t>
        </is>
      </c>
      <c r="B43" t="inlineStr">
        <is>
          <t>Shopify Advanced plan - billed yearly</t>
        </is>
      </c>
      <c r="C43" s="12" t="n">
        <v>299</v>
      </c>
      <c r="D43" t="inlineStr">
        <is>
          <t>$ per month</t>
        </is>
      </c>
      <c r="E43" s="18" t="n">
        <v>46316</v>
      </c>
      <c r="F43" s="13" t="inlineStr">
        <is>
          <t>https://www.shopify.com/pricing</t>
        </is>
      </c>
      <c r="G43" s="23" t="inlineStr">
        <is>
          <t>VERIFIED</t>
        </is>
      </c>
      <c r="H43" t="inlineStr">
        <is>
          <t>Yes</t>
        </is>
      </c>
      <c r="I43" s="20" t="inlineStr"/>
    </row>
    <row r="44">
      <c r="A44" s="17" t="inlineStr">
        <is>
          <t>Shopify|Advanced|Card %</t>
        </is>
      </c>
      <c r="B44" t="inlineStr">
        <is>
          <t>Shopify Payments online card rate - Advanced</t>
        </is>
      </c>
      <c r="C44" s="21" t="n">
        <v>0.025</v>
      </c>
      <c r="D44" t="inlineStr">
        <is>
          <t>of order total</t>
        </is>
      </c>
      <c r="E44" s="18" t="n">
        <v>46316</v>
      </c>
      <c r="F44" s="13" t="inlineStr">
        <is>
          <t>https://www.shopify.com/pricing (search index) ; https://qualimero.com/en/blog/shopify-transaction-fees</t>
        </is>
      </c>
      <c r="G44" s="19" t="inlineStr">
        <is>
          <t>UNVERIFIED</t>
        </is>
      </c>
      <c r="H44" t="inlineStr">
        <is>
          <t>Yes</t>
        </is>
      </c>
      <c r="I44" s="20" t="inlineStr">
        <is>
          <t>Check Settings &gt; Payments in your Shopify admin. Some sources say 2.4%; higher figure used (conservative).</t>
        </is>
      </c>
    </row>
    <row r="45">
      <c r="A45" s="17" t="inlineStr">
        <is>
          <t>Shopify|Advanced|Card fixed</t>
        </is>
      </c>
      <c r="B45" t="inlineStr">
        <is>
          <t>Shopify Payments fixed fee - Advanced</t>
        </is>
      </c>
      <c r="C45" s="12" t="n">
        <v>0.3</v>
      </c>
      <c r="D45" t="inlineStr">
        <is>
          <t>$ per order</t>
        </is>
      </c>
      <c r="E45" s="18" t="n">
        <v>46316</v>
      </c>
      <c r="F45" s="13" t="inlineStr">
        <is>
          <t>https://www.shopify.com/pricing (search index) ; https://qualimero.com/en/blog/shopify-transaction-fees</t>
        </is>
      </c>
      <c r="G45" s="19" t="inlineStr">
        <is>
          <t>UNVERIFIED</t>
        </is>
      </c>
      <c r="H45" t="inlineStr">
        <is>
          <t>Yes</t>
        </is>
      </c>
      <c r="I45" s="20" t="inlineStr"/>
    </row>
    <row r="46">
      <c r="A46" s="17" t="inlineStr">
        <is>
          <t>Shopify|Advanced|Third-party %</t>
        </is>
      </c>
      <c r="B46" t="inlineStr">
        <is>
          <t>Shopify fee if NOT using Shopify Payments - Advanced</t>
        </is>
      </c>
      <c r="C46" s="21" t="n">
        <v>0.006</v>
      </c>
      <c r="D46" t="inlineStr">
        <is>
          <t>of order total</t>
        </is>
      </c>
      <c r="E46" s="18" t="n">
        <v>46316</v>
      </c>
      <c r="F46" s="13" t="inlineStr">
        <is>
          <t>https://www.shopify.com/pricing</t>
        </is>
      </c>
      <c r="G46" s="23" t="inlineStr">
        <is>
          <t>VERIFIED</t>
        </is>
      </c>
      <c r="H46" t="inlineStr">
        <is>
          <t>Yes</t>
        </is>
      </c>
      <c r="I46" s="20" t="inlineStr">
        <is>
          <t>Charged by Shopify on top of your provider's own fee.</t>
        </is>
      </c>
    </row>
    <row r="47">
      <c r="A47" s="17" t="inlineStr">
        <is>
          <t>Shopify|Plus|Monthly</t>
        </is>
      </c>
      <c r="B47" t="inlineStr">
        <is>
          <t>Shopify Plus plan - billed monthly</t>
        </is>
      </c>
      <c r="C47" s="12" t="n">
        <v>2300</v>
      </c>
      <c r="D47" t="inlineStr">
        <is>
          <t>$ per month</t>
        </is>
      </c>
      <c r="E47" s="18" t="n">
        <v>46316</v>
      </c>
      <c r="F47" s="13" t="inlineStr">
        <is>
          <t>https://www.shopify.com/pricing</t>
        </is>
      </c>
      <c r="G47" s="23" t="inlineStr">
        <is>
          <t>VERIFIED</t>
        </is>
      </c>
      <c r="H47" t="inlineStr">
        <is>
          <t>Yes</t>
        </is>
      </c>
      <c r="I47" s="20" t="inlineStr">
        <is>
          <t xml:space="preserve">ASSUMPTION: Plus is 'from $2,300/mo'; same figure used for yearly. </t>
        </is>
      </c>
    </row>
    <row r="48">
      <c r="A48" s="17" t="inlineStr">
        <is>
          <t>Shopify|Plus|Yearly</t>
        </is>
      </c>
      <c r="B48" t="inlineStr">
        <is>
          <t>Shopify Plus plan - billed yearly</t>
        </is>
      </c>
      <c r="C48" s="12" t="n">
        <v>2300</v>
      </c>
      <c r="D48" t="inlineStr">
        <is>
          <t>$ per month</t>
        </is>
      </c>
      <c r="E48" s="18" t="n">
        <v>46316</v>
      </c>
      <c r="F48" s="13" t="inlineStr">
        <is>
          <t>https://www.shopify.com/pricing</t>
        </is>
      </c>
      <c r="G48" s="23" t="inlineStr">
        <is>
          <t>VERIFIED</t>
        </is>
      </c>
      <c r="H48" t="inlineStr">
        <is>
          <t>Yes</t>
        </is>
      </c>
      <c r="I48" s="20" t="inlineStr">
        <is>
          <t xml:space="preserve">ASSUMPTION: Plus is 'from $2,300/mo'; same figure used for yearly. </t>
        </is>
      </c>
    </row>
    <row r="49">
      <c r="A49" s="17" t="inlineStr">
        <is>
          <t>Shopify|Plus|Card %</t>
        </is>
      </c>
      <c r="B49" t="inlineStr">
        <is>
          <t>Shopify Payments online card rate - Plus</t>
        </is>
      </c>
      <c r="C49" s="21" t="n">
        <v>0.0225</v>
      </c>
      <c r="D49" t="inlineStr">
        <is>
          <t>of order total</t>
        </is>
      </c>
      <c r="E49" s="18" t="n">
        <v>46316</v>
      </c>
      <c r="F49" s="13" t="inlineStr">
        <is>
          <t>https://www.shopify.com/pricing (search index) ; https://qualimero.com/en/blog/shopify-transaction-fees</t>
        </is>
      </c>
      <c r="G49" s="19" t="inlineStr">
        <is>
          <t>UNVERIFIED</t>
        </is>
      </c>
      <c r="H49" t="inlineStr">
        <is>
          <t>Yes</t>
        </is>
      </c>
      <c r="I49" s="20" t="inlineStr">
        <is>
          <t>Check Settings &gt; Payments in your Shopify admin. Shown as 'about 2.25%'.</t>
        </is>
      </c>
    </row>
    <row r="50">
      <c r="A50" s="17" t="inlineStr">
        <is>
          <t>Shopify|Plus|Card fixed</t>
        </is>
      </c>
      <c r="B50" t="inlineStr">
        <is>
          <t>Shopify Payments fixed fee - Plus</t>
        </is>
      </c>
      <c r="C50" s="12" t="n">
        <v>0.3</v>
      </c>
      <c r="D50" t="inlineStr">
        <is>
          <t>$ per order</t>
        </is>
      </c>
      <c r="E50" s="18" t="n">
        <v>46316</v>
      </c>
      <c r="F50" s="13" t="inlineStr">
        <is>
          <t>https://www.shopify.com/pricing (search index) ; https://qualimero.com/en/blog/shopify-transaction-fees</t>
        </is>
      </c>
      <c r="G50" s="19" t="inlineStr">
        <is>
          <t>UNVERIFIED</t>
        </is>
      </c>
      <c r="H50" t="inlineStr">
        <is>
          <t>Yes</t>
        </is>
      </c>
      <c r="I50" s="20" t="inlineStr"/>
    </row>
    <row r="51">
      <c r="A51" s="17" t="inlineStr">
        <is>
          <t>Shopify|Plus|Third-party %</t>
        </is>
      </c>
      <c r="B51" t="inlineStr">
        <is>
          <t>Shopify fee if NOT using Shopify Payments - Plus</t>
        </is>
      </c>
      <c r="C51" s="21" t="n">
        <v>0.002</v>
      </c>
      <c r="D51" t="inlineStr">
        <is>
          <t>of order total</t>
        </is>
      </c>
      <c r="E51" s="18" t="n">
        <v>46316</v>
      </c>
      <c r="F51" s="13" t="inlineStr">
        <is>
          <t>https://www.shopify.com/pricing</t>
        </is>
      </c>
      <c r="G51" s="23" t="inlineStr">
        <is>
          <t>VERIFIED</t>
        </is>
      </c>
      <c r="H51" t="inlineStr">
        <is>
          <t>Yes</t>
        </is>
      </c>
      <c r="I51" s="20" t="inlineStr">
        <is>
          <t>Charged by Shopify on top of your provider's own fee.</t>
        </is>
      </c>
    </row>
    <row r="52">
      <c r="A52" s="17" t="inlineStr">
        <is>
          <t>THIRD_PARTY_PCT</t>
        </is>
      </c>
      <c r="B52" t="inlineStr">
        <is>
          <t>Your third-party provider's rate (PayPal, Stripe...)</t>
        </is>
      </c>
      <c r="C52" s="21" t="n">
        <v>0.029</v>
      </c>
      <c r="D52" t="inlineStr">
        <is>
          <t>of order total</t>
        </is>
      </c>
      <c r="E52" s="18" t="n">
        <v>46316</v>
      </c>
      <c r="F52" s="13" t="inlineStr">
        <is>
          <t>Not from research: placeholder, enter yours</t>
        </is>
      </c>
      <c r="G52" s="24" t="inlineStr">
        <is>
          <t>ASSUMPTION</t>
        </is>
      </c>
      <c r="H52" t="inlineStr">
        <is>
          <t>Yes</t>
        </is>
      </c>
      <c r="I52" s="20" t="inlineStr">
        <is>
          <t>Only used when Payment provider = Third-party provider.</t>
        </is>
      </c>
    </row>
    <row r="53">
      <c r="A53" s="17" t="inlineStr">
        <is>
          <t>THIRD_PARTY_FIXED</t>
        </is>
      </c>
      <c r="B53" t="inlineStr">
        <is>
          <t>Your third-party provider's fixed fee</t>
        </is>
      </c>
      <c r="C53" s="12" t="n">
        <v>0.3</v>
      </c>
      <c r="D53" t="inlineStr">
        <is>
          <t>$ per order</t>
        </is>
      </c>
      <c r="E53" s="18" t="n">
        <v>46316</v>
      </c>
      <c r="F53" s="13" t="inlineStr">
        <is>
          <t>Not from research: placeholder, enter yours</t>
        </is>
      </c>
      <c r="G53" s="24" t="inlineStr">
        <is>
          <t>ASSUMPTION</t>
        </is>
      </c>
      <c r="H53" t="inlineStr">
        <is>
          <t>Yes</t>
        </is>
      </c>
      <c r="I53" s="20" t="inlineStr"/>
    </row>
    <row r="54">
      <c r="A54" s="17" t="inlineStr">
        <is>
          <t>RULE_DISCOUNT_BASE</t>
        </is>
      </c>
      <c r="B54" t="inlineStr">
        <is>
          <t>RULE: Etsy fees use the price AFTER your discount? (Y/N)</t>
        </is>
      </c>
      <c r="C54" s="13" t="inlineStr">
        <is>
          <t>Y</t>
        </is>
      </c>
      <c r="D54" t="inlineStr">
        <is>
          <t>Y or N</t>
        </is>
      </c>
      <c r="E54" s="18" t="n">
        <v>46316</v>
      </c>
      <c r="F54" s="13" t="inlineStr">
        <is>
          <t>https://help.etsy.com/hc/en-us/articles/115014483627 (cited by third-party guides)</t>
        </is>
      </c>
      <c r="G54" s="19" t="inlineStr">
        <is>
          <t>UNVERIFIED</t>
        </is>
      </c>
      <c r="H54" t="inlineStr">
        <is>
          <t>Yes</t>
        </is>
      </c>
      <c r="I54" s="20" t="inlineStr">
        <is>
          <t>Y (default) = transaction and Offsite Ads fees are worked out on the discounted price, as Etsy's fees help article says. Alternative: N = fees on the price BEFORE your discount (higher, more cautious). Processing always uses what the buyer paid.</t>
        </is>
      </c>
    </row>
    <row r="55">
      <c r="A55" s="17" t="inlineStr">
        <is>
          <t>RULE_TAX_BASE</t>
        </is>
      </c>
      <c r="B55" t="inlineStr">
        <is>
          <t>Average sales tax rate on your orders (processing fee only)</t>
        </is>
      </c>
      <c r="C55" s="21" t="n">
        <v>0</v>
      </c>
      <c r="D55" t="inlineStr">
        <is>
          <t>% of order total</t>
        </is>
      </c>
      <c r="E55" s="18" t="n">
        <v>46316</v>
      </c>
      <c r="F55" s="13" t="inlineStr">
        <is>
          <t>https://help.etsy.com/hc/en-us/articles/115014483627 (cited by third-party guides)</t>
        </is>
      </c>
      <c r="G55" s="19" t="inlineStr">
        <is>
          <t>UNVERIFIED</t>
        </is>
      </c>
      <c r="H55" t="inlineStr">
        <is>
          <t>Yes</t>
        </is>
      </c>
      <c r="I55" s="20" t="inlineStr">
        <is>
          <t>Etsy's 3% + $0.25 processing fee includes sales tax. Enter your average tax rate for a more accurate fee. Leave it at 0% if unsure.</t>
        </is>
      </c>
    </row>
    <row r="56">
      <c r="A56" s="17" t="inlineStr">
        <is>
          <t>RULE_REFUND_PCT_FEES</t>
        </is>
      </c>
      <c r="B56" t="inlineStr">
        <is>
          <t>RULE: refunds credit back Etsy % fees in proportion</t>
        </is>
      </c>
      <c r="C56" s="22" t="inlineStr">
        <is>
          <t>Info</t>
        </is>
      </c>
      <c r="D56" t="inlineStr"/>
      <c r="E56" s="18" t="n">
        <v>46316</v>
      </c>
      <c r="F56" s="13" t="inlineStr">
        <is>
          <t>https://ecomcalctools.com/blog/fees-etsy/etsy-refund-returns/ ; Etsy Community threads</t>
        </is>
      </c>
      <c r="G56" s="24" t="inlineStr">
        <is>
          <t>ASSUMPTION</t>
        </is>
      </c>
      <c r="H56" t="inlineStr">
        <is>
          <t>Yes</t>
        </is>
      </c>
      <c r="I56" s="20" t="inlineStr">
        <is>
          <t>When 'Etsy fees credited back?' = Y: transaction fee and % processing fee are credited in proportion to refund / order total.</t>
        </is>
      </c>
    </row>
    <row r="57">
      <c r="A57" s="17" t="inlineStr">
        <is>
          <t>RULE_REFUND_LISTING</t>
        </is>
      </c>
      <c r="B57" t="inlineStr">
        <is>
          <t>RULE: listing fee credited on refund</t>
        </is>
      </c>
      <c r="C57" s="22" t="inlineStr">
        <is>
          <t>Never</t>
        </is>
      </c>
      <c r="D57" t="inlineStr"/>
      <c r="E57" s="18" t="n">
        <v>46316</v>
      </c>
      <c r="F57" s="13" t="inlineStr">
        <is>
          <t>https://ecomcalctools.com/blog/fees-etsy/etsy-refund-returns/ ; Etsy Community threads</t>
        </is>
      </c>
      <c r="G57" s="19" t="inlineStr">
        <is>
          <t>UNVERIFIED</t>
        </is>
      </c>
      <c r="H57" t="inlineStr">
        <is>
          <t>Yes</t>
        </is>
      </c>
      <c r="I57" s="20" t="inlineStr">
        <is>
          <t>Per research the listing fee is not refunded.</t>
        </is>
      </c>
    </row>
    <row r="58">
      <c r="A58" s="17" t="inlineStr">
        <is>
          <t>RULE_REFUND_PROC_FIXED</t>
        </is>
      </c>
      <c r="B58" t="inlineStr">
        <is>
          <t>RULE: $0.25 processing fee credited on a FULL refund? (Y/N)</t>
        </is>
      </c>
      <c r="C58" s="13" t="inlineStr">
        <is>
          <t>N</t>
        </is>
      </c>
      <c r="D58" t="inlineStr">
        <is>
          <t>Y or N</t>
        </is>
      </c>
      <c r="E58" s="18" t="n">
        <v>46316</v>
      </c>
      <c r="F58" s="13" t="inlineStr">
        <is>
          <t>Research silent</t>
        </is>
      </c>
      <c r="G58" s="24" t="inlineStr">
        <is>
          <t>ASSUMPTION</t>
        </is>
      </c>
      <c r="H58" t="inlineStr">
        <is>
          <t>Yes</t>
        </is>
      </c>
      <c r="I58" s="20" t="inlineStr">
        <is>
          <t>N (conservative).</t>
        </is>
      </c>
    </row>
    <row r="59">
      <c r="A59" s="17" t="inlineStr">
        <is>
          <t>RULE_REFUND_OFFSITE</t>
        </is>
      </c>
      <c r="B59" t="inlineStr">
        <is>
          <t>RULE: Offsite Ads fee credited on refund? (Y/N)</t>
        </is>
      </c>
      <c r="C59" s="13" t="inlineStr">
        <is>
          <t>N</t>
        </is>
      </c>
      <c r="D59" t="inlineStr">
        <is>
          <t>Y or N</t>
        </is>
      </c>
      <c r="E59" s="18" t="n">
        <v>46316</v>
      </c>
      <c r="F59" s="13" t="inlineStr">
        <is>
          <t>https://ecomcalctools.com/blog/fees-etsy/etsy-refund-returns/ ; Etsy Community threads</t>
        </is>
      </c>
      <c r="G59" s="24" t="inlineStr">
        <is>
          <t>ASSUMPTION</t>
        </is>
      </c>
      <c r="H59" t="inlineStr">
        <is>
          <t>Yes</t>
        </is>
      </c>
      <c r="I59" s="20" t="inlineStr">
        <is>
          <t>N (conservative): sellers report this fee often does not come back.</t>
        </is>
      </c>
    </row>
    <row r="60">
      <c r="A60" s="17" t="inlineStr">
        <is>
          <t>RULE_REFUND_SHOPIFY</t>
        </is>
      </c>
      <c r="B60" t="inlineStr">
        <is>
          <t>RULE: Shopify payment fees credited on refund</t>
        </is>
      </c>
      <c r="C60" s="22" t="inlineStr">
        <is>
          <t>Never</t>
        </is>
      </c>
      <c r="D60" t="inlineStr"/>
      <c r="E60" s="18" t="n">
        <v>46316</v>
      </c>
      <c r="F60" s="13" t="inlineStr">
        <is>
          <t>Research silent</t>
        </is>
      </c>
      <c r="G60" s="24" t="inlineStr">
        <is>
          <t>ASSUMPTION</t>
        </is>
      </c>
      <c r="H60" t="inlineStr">
        <is>
          <t>Yes</t>
        </is>
      </c>
      <c r="I60" s="20" t="inlineStr">
        <is>
          <t>Conservative: no Shopify fees come back on refunds.</t>
        </is>
      </c>
    </row>
  </sheetData>
  <sheetProtection selectLockedCells="0" selectUnlockedCells="0" sheet="1" objects="0" insertRows="1" insertHyperlinks="1" autoFilter="1" scenarios="0" formatColumns="0" deleteColumns="1" insertColumns="1" pivotTables="1" deleteRows="1" formatCells="0" formatRows="0" sort="1"/>
  <dataValidations count="5">
    <dataValidation sqref="C6 C54 C58 C59" showDropDown="0" showInputMessage="0" showErrorMessage="0" allowBlank="1" errorTitle="Pick from the list" error="Please pick a value from the list." type="list">
      <formula1>"Y,N"</formula1>
    </dataValidation>
    <dataValidation sqref="C7" showDropDown="0" showInputMessage="0" showErrorMessage="0" allowBlank="1" errorTitle="Pick from the list" error="Please pick a value from the list." type="list">
      <formula1>"Basic,Grow,Advanced,Plus"</formula1>
    </dataValidation>
    <dataValidation sqref="C8" showDropDown="0" showInputMessage="0" showErrorMessage="0" allowBlank="1" errorTitle="Pick from the list" error="Please pick a value from the list." type="list">
      <formula1>"Monthly,Yearly"</formula1>
    </dataValidation>
    <dataValidation sqref="C9" showDropDown="0" showInputMessage="0" showErrorMessage="0" allowBlank="1" errorTitle="Pick from the list" error="Please pick a value from the list." type="list">
      <formula1>"Shopify Payments,Third-party provider"</formula1>
    </dataValidation>
    <dataValidation sqref="G19:G60" showDropDown="0" showInputMessage="0" showErrorMessage="0" allowBlank="1" errorTitle="Pick from the list" error="Please pick a value from the list." type="list">
      <formula1>"VERIFIED,UNVERIFIED,ASSUMPTION"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5" customWidth="1" min="8" max="8"/>
    <col width="11" customWidth="1" min="9" max="9"/>
    <col width="60" customWidth="1" min="11" max="11"/>
  </cols>
  <sheetData>
    <row r="1">
      <c r="A1" s="8" t="inlineStr">
        <is>
          <t>Products</t>
        </is>
      </c>
    </row>
    <row r="2">
      <c r="A2" s="9" t="inlineStr">
        <is>
          <t>One row per product. Yellow = you type. Blue = calculated. Unit cost feeds every profit figure.</t>
        </is>
      </c>
    </row>
    <row r="4" ht="32" customHeight="1">
      <c r="A4" s="16" t="inlineStr">
        <is>
          <t>Product name</t>
        </is>
      </c>
      <c r="B4" s="16" t="inlineStr">
        <is>
          <t>Materials ($/unit)</t>
        </is>
      </c>
      <c r="C4" s="16" t="inlineStr">
        <is>
          <t>Packaging ($/unit)</t>
        </is>
      </c>
      <c r="D4" s="16" t="inlineStr">
        <is>
          <t>Labour (minutes/unit)</t>
        </is>
      </c>
      <c r="E4" s="16" t="inlineStr">
        <is>
          <t>Labour cost ($/unit)</t>
        </is>
      </c>
      <c r="F4" s="16" t="inlineStr">
        <is>
          <t>Total unit cost</t>
        </is>
      </c>
      <c r="G4" s="16" t="inlineStr">
        <is>
          <t>Units sold (Orders Log)</t>
        </is>
      </c>
      <c r="H4" s="16" t="inlineStr">
        <is>
          <t>Net profit (Orders Log)</t>
        </is>
      </c>
      <c r="I4" s="16" t="inlineStr">
        <is>
          <t>Rank helper</t>
        </is>
      </c>
      <c r="K4" s="25" t="inlineStr">
        <is>
          <t>Notes</t>
        </is>
      </c>
    </row>
    <row r="5">
      <c r="A5" s="13" t="inlineStr">
        <is>
          <t>Ceramic Mug</t>
        </is>
      </c>
      <c r="B5" s="12" t="n">
        <v>6.5</v>
      </c>
      <c r="C5" s="12" t="n">
        <v>1.2</v>
      </c>
      <c r="D5" s="26" t="n">
        <v>25</v>
      </c>
      <c r="E5" s="15">
        <f>IF($A5="","",$D5/60*Settings!$C$5)</f>
        <v/>
      </c>
      <c r="F5" s="27">
        <f>IF($A5="","",$B5+$C5+$E5)</f>
        <v/>
      </c>
      <c r="G5" s="28">
        <f>IF($A5="","",SUMIFS('Orders Log'!$D$6:$D$505,'Orders Log'!$C$6:$C$505,$A5))</f>
        <v/>
      </c>
      <c r="H5" s="15">
        <f>IF($A5="","",SUMIFS('Orders Log'!$V$6:$V$505,'Orders Log'!$C$6:$C$505,$A5))</f>
        <v/>
      </c>
      <c r="I5" s="29">
        <f>IF($A5="","",$H5-ROW()/1000000000)</f>
        <v/>
      </c>
      <c r="K5" s="11" t="inlineStr">
        <is>
          <t>Labour cost = minutes / 60 x your hourly rate (Settings).</t>
        </is>
      </c>
    </row>
    <row r="6">
      <c r="A6" s="13" t="inlineStr">
        <is>
          <t>Linen Tote Bag</t>
        </is>
      </c>
      <c r="B6" s="12" t="n">
        <v>5</v>
      </c>
      <c r="C6" s="12" t="n">
        <v>0.8</v>
      </c>
      <c r="D6" s="26" t="n">
        <v>20</v>
      </c>
      <c r="E6" s="15">
        <f>IF($A6="","",$D6/60*Settings!$C$5)</f>
        <v/>
      </c>
      <c r="F6" s="27">
        <f>IF($A6="","",$B6+$C6+$E6)</f>
        <v/>
      </c>
      <c r="G6" s="28">
        <f>IF($A6="","",SUMIFS('Orders Log'!$D$6:$D$505,'Orders Log'!$C$6:$C$505,$A6))</f>
        <v/>
      </c>
      <c r="H6" s="15">
        <f>IF($A6="","",SUMIFS('Orders Log'!$V$6:$V$505,'Orders Log'!$C$6:$C$505,$A6))</f>
        <v/>
      </c>
      <c r="I6" s="29">
        <f>IF($A6="","",$H6-ROW()/1000000000)</f>
        <v/>
      </c>
      <c r="K6" s="11" t="inlineStr">
        <is>
          <t>Rank helper breaks ties for the Dashboard top/bottom lists. Ignore it.</t>
        </is>
      </c>
    </row>
    <row r="7">
      <c r="A7" s="13" t="inlineStr">
        <is>
          <t>Soy Candle 8oz</t>
        </is>
      </c>
      <c r="B7" s="12" t="n">
        <v>3.4</v>
      </c>
      <c r="C7" s="12" t="n">
        <v>1</v>
      </c>
      <c r="D7" s="26" t="n">
        <v>15</v>
      </c>
      <c r="E7" s="15">
        <f>IF($A7="","",$D7/60*Settings!$C$5)</f>
        <v/>
      </c>
      <c r="F7" s="27">
        <f>IF($A7="","",$B7+$C7+$E7)</f>
        <v/>
      </c>
      <c r="G7" s="28">
        <f>IF($A7="","",SUMIFS('Orders Log'!$D$6:$D$505,'Orders Log'!$C$6:$C$505,$A7))</f>
        <v/>
      </c>
      <c r="H7" s="15">
        <f>IF($A7="","",SUMIFS('Orders Log'!$V$6:$V$505,'Orders Log'!$C$6:$C$505,$A7))</f>
        <v/>
      </c>
      <c r="I7" s="29">
        <f>IF($A7="","",$H7-ROW()/1000000000)</f>
        <v/>
      </c>
      <c r="K7" s="11" t="inlineStr">
        <is>
          <t>Product names must be unique; the Orders Log looks them up by name.</t>
        </is>
      </c>
    </row>
    <row r="8">
      <c r="A8" s="13" t="inlineStr">
        <is>
          <t>Beaded Bracelet</t>
        </is>
      </c>
      <c r="B8" s="12" t="n">
        <v>2.1</v>
      </c>
      <c r="C8" s="12" t="n">
        <v>0.6</v>
      </c>
      <c r="D8" s="26" t="n">
        <v>30</v>
      </c>
      <c r="E8" s="15">
        <f>IF($A8="","",$D8/60*Settings!$C$5)</f>
        <v/>
      </c>
      <c r="F8" s="27">
        <f>IF($A8="","",$B8+$C8+$E8)</f>
        <v/>
      </c>
      <c r="G8" s="28">
        <f>IF($A8="","",SUMIFS('Orders Log'!$D$6:$D$505,'Orders Log'!$C$6:$C$505,$A8))</f>
        <v/>
      </c>
      <c r="H8" s="15">
        <f>IF($A8="","",SUMIFS('Orders Log'!$V$6:$V$505,'Orders Log'!$C$6:$C$505,$A8))</f>
        <v/>
      </c>
      <c r="I8" s="29">
        <f>IF($A8="","",$H8-ROW()/1000000000)</f>
        <v/>
      </c>
    </row>
    <row r="9">
      <c r="A9" s="13" t="inlineStr">
        <is>
          <t>Art Print A4</t>
        </is>
      </c>
      <c r="B9" s="12" t="n">
        <v>1.5</v>
      </c>
      <c r="C9" s="12" t="n">
        <v>0.9</v>
      </c>
      <c r="D9" s="26" t="n">
        <v>5</v>
      </c>
      <c r="E9" s="15">
        <f>IF($A9="","",$D9/60*Settings!$C$5)</f>
        <v/>
      </c>
      <c r="F9" s="27">
        <f>IF($A9="","",$B9+$C9+$E9)</f>
        <v/>
      </c>
      <c r="G9" s="28">
        <f>IF($A9="","",SUMIFS('Orders Log'!$D$6:$D$505,'Orders Log'!$C$6:$C$505,$A9))</f>
        <v/>
      </c>
      <c r="H9" s="15">
        <f>IF($A9="","",SUMIFS('Orders Log'!$V$6:$V$505,'Orders Log'!$C$6:$C$505,$A9))</f>
        <v/>
      </c>
      <c r="I9" s="29">
        <f>IF($A9="","",$H9-ROW()/1000000000)</f>
        <v/>
      </c>
    </row>
    <row r="10">
      <c r="A10" s="13" t="n"/>
      <c r="B10" s="12" t="n"/>
      <c r="C10" s="12" t="n"/>
      <c r="D10" s="26" t="n"/>
      <c r="E10" s="15">
        <f>IF($A10="","",$D10/60*Settings!$C$5)</f>
        <v/>
      </c>
      <c r="F10" s="27">
        <f>IF($A10="","",$B10+$C10+$E10)</f>
        <v/>
      </c>
      <c r="G10" s="28">
        <f>IF($A10="","",SUMIFS('Orders Log'!$D$6:$D$505,'Orders Log'!$C$6:$C$505,$A10))</f>
        <v/>
      </c>
      <c r="H10" s="15">
        <f>IF($A10="","",SUMIFS('Orders Log'!$V$6:$V$505,'Orders Log'!$C$6:$C$505,$A10))</f>
        <v/>
      </c>
      <c r="I10" s="29">
        <f>IF($A10="","",$H10-ROW()/1000000000)</f>
        <v/>
      </c>
    </row>
    <row r="11">
      <c r="A11" s="13" t="n"/>
      <c r="B11" s="12" t="n"/>
      <c r="C11" s="12" t="n"/>
      <c r="D11" s="26" t="n"/>
      <c r="E11" s="15">
        <f>IF($A11="","",$D11/60*Settings!$C$5)</f>
        <v/>
      </c>
      <c r="F11" s="27">
        <f>IF($A11="","",$B11+$C11+$E11)</f>
        <v/>
      </c>
      <c r="G11" s="28">
        <f>IF($A11="","",SUMIFS('Orders Log'!$D$6:$D$505,'Orders Log'!$C$6:$C$505,$A11))</f>
        <v/>
      </c>
      <c r="H11" s="15">
        <f>IF($A11="","",SUMIFS('Orders Log'!$V$6:$V$505,'Orders Log'!$C$6:$C$505,$A11))</f>
        <v/>
      </c>
      <c r="I11" s="29">
        <f>IF($A11="","",$H11-ROW()/1000000000)</f>
        <v/>
      </c>
    </row>
    <row r="12">
      <c r="A12" s="13" t="n"/>
      <c r="B12" s="12" t="n"/>
      <c r="C12" s="12" t="n"/>
      <c r="D12" s="26" t="n"/>
      <c r="E12" s="15">
        <f>IF($A12="","",$D12/60*Settings!$C$5)</f>
        <v/>
      </c>
      <c r="F12" s="27">
        <f>IF($A12="","",$B12+$C12+$E12)</f>
        <v/>
      </c>
      <c r="G12" s="28">
        <f>IF($A12="","",SUMIFS('Orders Log'!$D$6:$D$505,'Orders Log'!$C$6:$C$505,$A12))</f>
        <v/>
      </c>
      <c r="H12" s="15">
        <f>IF($A12="","",SUMIFS('Orders Log'!$V$6:$V$505,'Orders Log'!$C$6:$C$505,$A12))</f>
        <v/>
      </c>
      <c r="I12" s="29">
        <f>IF($A12="","",$H12-ROW()/1000000000)</f>
        <v/>
      </c>
    </row>
    <row r="13">
      <c r="A13" s="13" t="n"/>
      <c r="B13" s="12" t="n"/>
      <c r="C13" s="12" t="n"/>
      <c r="D13" s="26" t="n"/>
      <c r="E13" s="15">
        <f>IF($A13="","",$D13/60*Settings!$C$5)</f>
        <v/>
      </c>
      <c r="F13" s="27">
        <f>IF($A13="","",$B13+$C13+$E13)</f>
        <v/>
      </c>
      <c r="G13" s="28">
        <f>IF($A13="","",SUMIFS('Orders Log'!$D$6:$D$505,'Orders Log'!$C$6:$C$505,$A13))</f>
        <v/>
      </c>
      <c r="H13" s="15">
        <f>IF($A13="","",SUMIFS('Orders Log'!$V$6:$V$505,'Orders Log'!$C$6:$C$505,$A13))</f>
        <v/>
      </c>
      <c r="I13" s="29">
        <f>IF($A13="","",$H13-ROW()/1000000000)</f>
        <v/>
      </c>
    </row>
    <row r="14">
      <c r="A14" s="13" t="n"/>
      <c r="B14" s="12" t="n"/>
      <c r="C14" s="12" t="n"/>
      <c r="D14" s="26" t="n"/>
      <c r="E14" s="15">
        <f>IF($A14="","",$D14/60*Settings!$C$5)</f>
        <v/>
      </c>
      <c r="F14" s="27">
        <f>IF($A14="","",$B14+$C14+$E14)</f>
        <v/>
      </c>
      <c r="G14" s="28">
        <f>IF($A14="","",SUMIFS('Orders Log'!$D$6:$D$505,'Orders Log'!$C$6:$C$505,$A14))</f>
        <v/>
      </c>
      <c r="H14" s="15">
        <f>IF($A14="","",SUMIFS('Orders Log'!$V$6:$V$505,'Orders Log'!$C$6:$C$505,$A14))</f>
        <v/>
      </c>
      <c r="I14" s="29">
        <f>IF($A14="","",$H14-ROW()/1000000000)</f>
        <v/>
      </c>
    </row>
    <row r="15">
      <c r="A15" s="13" t="n"/>
      <c r="B15" s="12" t="n"/>
      <c r="C15" s="12" t="n"/>
      <c r="D15" s="26" t="n"/>
      <c r="E15" s="15">
        <f>IF($A15="","",$D15/60*Settings!$C$5)</f>
        <v/>
      </c>
      <c r="F15" s="27">
        <f>IF($A15="","",$B15+$C15+$E15)</f>
        <v/>
      </c>
      <c r="G15" s="28">
        <f>IF($A15="","",SUMIFS('Orders Log'!$D$6:$D$505,'Orders Log'!$C$6:$C$505,$A15))</f>
        <v/>
      </c>
      <c r="H15" s="15">
        <f>IF($A15="","",SUMIFS('Orders Log'!$V$6:$V$505,'Orders Log'!$C$6:$C$505,$A15))</f>
        <v/>
      </c>
      <c r="I15" s="29">
        <f>IF($A15="","",$H15-ROW()/1000000000)</f>
        <v/>
      </c>
    </row>
    <row r="16">
      <c r="A16" s="13" t="n"/>
      <c r="B16" s="12" t="n"/>
      <c r="C16" s="12" t="n"/>
      <c r="D16" s="26" t="n"/>
      <c r="E16" s="15">
        <f>IF($A16="","",$D16/60*Settings!$C$5)</f>
        <v/>
      </c>
      <c r="F16" s="27">
        <f>IF($A16="","",$B16+$C16+$E16)</f>
        <v/>
      </c>
      <c r="G16" s="28">
        <f>IF($A16="","",SUMIFS('Orders Log'!$D$6:$D$505,'Orders Log'!$C$6:$C$505,$A16))</f>
        <v/>
      </c>
      <c r="H16" s="15">
        <f>IF($A16="","",SUMIFS('Orders Log'!$V$6:$V$505,'Orders Log'!$C$6:$C$505,$A16))</f>
        <v/>
      </c>
      <c r="I16" s="29">
        <f>IF($A16="","",$H16-ROW()/1000000000)</f>
        <v/>
      </c>
    </row>
    <row r="17">
      <c r="A17" s="13" t="n"/>
      <c r="B17" s="12" t="n"/>
      <c r="C17" s="12" t="n"/>
      <c r="D17" s="26" t="n"/>
      <c r="E17" s="15">
        <f>IF($A17="","",$D17/60*Settings!$C$5)</f>
        <v/>
      </c>
      <c r="F17" s="27">
        <f>IF($A17="","",$B17+$C17+$E17)</f>
        <v/>
      </c>
      <c r="G17" s="28">
        <f>IF($A17="","",SUMIFS('Orders Log'!$D$6:$D$505,'Orders Log'!$C$6:$C$505,$A17))</f>
        <v/>
      </c>
      <c r="H17" s="15">
        <f>IF($A17="","",SUMIFS('Orders Log'!$V$6:$V$505,'Orders Log'!$C$6:$C$505,$A17))</f>
        <v/>
      </c>
      <c r="I17" s="29">
        <f>IF($A17="","",$H17-ROW()/1000000000)</f>
        <v/>
      </c>
    </row>
    <row r="18">
      <c r="A18" s="13" t="n"/>
      <c r="B18" s="12" t="n"/>
      <c r="C18" s="12" t="n"/>
      <c r="D18" s="26" t="n"/>
      <c r="E18" s="15">
        <f>IF($A18="","",$D18/60*Settings!$C$5)</f>
        <v/>
      </c>
      <c r="F18" s="27">
        <f>IF($A18="","",$B18+$C18+$E18)</f>
        <v/>
      </c>
      <c r="G18" s="28">
        <f>IF($A18="","",SUMIFS('Orders Log'!$D$6:$D$505,'Orders Log'!$C$6:$C$505,$A18))</f>
        <v/>
      </c>
      <c r="H18" s="15">
        <f>IF($A18="","",SUMIFS('Orders Log'!$V$6:$V$505,'Orders Log'!$C$6:$C$505,$A18))</f>
        <v/>
      </c>
      <c r="I18" s="29">
        <f>IF($A18="","",$H18-ROW()/1000000000)</f>
        <v/>
      </c>
    </row>
    <row r="19">
      <c r="A19" s="13" t="n"/>
      <c r="B19" s="12" t="n"/>
      <c r="C19" s="12" t="n"/>
      <c r="D19" s="26" t="n"/>
      <c r="E19" s="15">
        <f>IF($A19="","",$D19/60*Settings!$C$5)</f>
        <v/>
      </c>
      <c r="F19" s="27">
        <f>IF($A19="","",$B19+$C19+$E19)</f>
        <v/>
      </c>
      <c r="G19" s="28">
        <f>IF($A19="","",SUMIFS('Orders Log'!$D$6:$D$505,'Orders Log'!$C$6:$C$505,$A19))</f>
        <v/>
      </c>
      <c r="H19" s="15">
        <f>IF($A19="","",SUMIFS('Orders Log'!$V$6:$V$505,'Orders Log'!$C$6:$C$505,$A19))</f>
        <v/>
      </c>
      <c r="I19" s="29">
        <f>IF($A19="","",$H19-ROW()/1000000000)</f>
        <v/>
      </c>
    </row>
    <row r="20">
      <c r="A20" s="13" t="n"/>
      <c r="B20" s="12" t="n"/>
      <c r="C20" s="12" t="n"/>
      <c r="D20" s="26" t="n"/>
      <c r="E20" s="15">
        <f>IF($A20="","",$D20/60*Settings!$C$5)</f>
        <v/>
      </c>
      <c r="F20" s="27">
        <f>IF($A20="","",$B20+$C20+$E20)</f>
        <v/>
      </c>
      <c r="G20" s="28">
        <f>IF($A20="","",SUMIFS('Orders Log'!$D$6:$D$505,'Orders Log'!$C$6:$C$505,$A20))</f>
        <v/>
      </c>
      <c r="H20" s="15">
        <f>IF($A20="","",SUMIFS('Orders Log'!$V$6:$V$505,'Orders Log'!$C$6:$C$505,$A20))</f>
        <v/>
      </c>
      <c r="I20" s="29">
        <f>IF($A20="","",$H20-ROW()/1000000000)</f>
        <v/>
      </c>
    </row>
    <row r="21">
      <c r="A21" s="13" t="n"/>
      <c r="B21" s="12" t="n"/>
      <c r="C21" s="12" t="n"/>
      <c r="D21" s="26" t="n"/>
      <c r="E21" s="15">
        <f>IF($A21="","",$D21/60*Settings!$C$5)</f>
        <v/>
      </c>
      <c r="F21" s="27">
        <f>IF($A21="","",$B21+$C21+$E21)</f>
        <v/>
      </c>
      <c r="G21" s="28">
        <f>IF($A21="","",SUMIFS('Orders Log'!$D$6:$D$505,'Orders Log'!$C$6:$C$505,$A21))</f>
        <v/>
      </c>
      <c r="H21" s="15">
        <f>IF($A21="","",SUMIFS('Orders Log'!$V$6:$V$505,'Orders Log'!$C$6:$C$505,$A21))</f>
        <v/>
      </c>
      <c r="I21" s="29">
        <f>IF($A21="","",$H21-ROW()/1000000000)</f>
        <v/>
      </c>
    </row>
    <row r="22">
      <c r="A22" s="13" t="n"/>
      <c r="B22" s="12" t="n"/>
      <c r="C22" s="12" t="n"/>
      <c r="D22" s="26" t="n"/>
      <c r="E22" s="15">
        <f>IF($A22="","",$D22/60*Settings!$C$5)</f>
        <v/>
      </c>
      <c r="F22" s="27">
        <f>IF($A22="","",$B22+$C22+$E22)</f>
        <v/>
      </c>
      <c r="G22" s="28">
        <f>IF($A22="","",SUMIFS('Orders Log'!$D$6:$D$505,'Orders Log'!$C$6:$C$505,$A22))</f>
        <v/>
      </c>
      <c r="H22" s="15">
        <f>IF($A22="","",SUMIFS('Orders Log'!$V$6:$V$505,'Orders Log'!$C$6:$C$505,$A22))</f>
        <v/>
      </c>
      <c r="I22" s="29">
        <f>IF($A22="","",$H22-ROW()/1000000000)</f>
        <v/>
      </c>
    </row>
    <row r="23">
      <c r="A23" s="13" t="n"/>
      <c r="B23" s="12" t="n"/>
      <c r="C23" s="12" t="n"/>
      <c r="D23" s="26" t="n"/>
      <c r="E23" s="15">
        <f>IF($A23="","",$D23/60*Settings!$C$5)</f>
        <v/>
      </c>
      <c r="F23" s="27">
        <f>IF($A23="","",$B23+$C23+$E23)</f>
        <v/>
      </c>
      <c r="G23" s="28">
        <f>IF($A23="","",SUMIFS('Orders Log'!$D$6:$D$505,'Orders Log'!$C$6:$C$505,$A23))</f>
        <v/>
      </c>
      <c r="H23" s="15">
        <f>IF($A23="","",SUMIFS('Orders Log'!$V$6:$V$505,'Orders Log'!$C$6:$C$505,$A23))</f>
        <v/>
      </c>
      <c r="I23" s="29">
        <f>IF($A23="","",$H23-ROW()/1000000000)</f>
        <v/>
      </c>
    </row>
    <row r="24">
      <c r="A24" s="13" t="n"/>
      <c r="B24" s="12" t="n"/>
      <c r="C24" s="12" t="n"/>
      <c r="D24" s="26" t="n"/>
      <c r="E24" s="15">
        <f>IF($A24="","",$D24/60*Settings!$C$5)</f>
        <v/>
      </c>
      <c r="F24" s="27">
        <f>IF($A24="","",$B24+$C24+$E24)</f>
        <v/>
      </c>
      <c r="G24" s="28">
        <f>IF($A24="","",SUMIFS('Orders Log'!$D$6:$D$505,'Orders Log'!$C$6:$C$505,$A24))</f>
        <v/>
      </c>
      <c r="H24" s="15">
        <f>IF($A24="","",SUMIFS('Orders Log'!$V$6:$V$505,'Orders Log'!$C$6:$C$505,$A24))</f>
        <v/>
      </c>
      <c r="I24" s="29">
        <f>IF($A24="","",$H24-ROW()/1000000000)</f>
        <v/>
      </c>
    </row>
    <row r="25">
      <c r="A25" s="13" t="n"/>
      <c r="B25" s="12" t="n"/>
      <c r="C25" s="12" t="n"/>
      <c r="D25" s="26" t="n"/>
      <c r="E25" s="15">
        <f>IF($A25="","",$D25/60*Settings!$C$5)</f>
        <v/>
      </c>
      <c r="F25" s="27">
        <f>IF($A25="","",$B25+$C25+$E25)</f>
        <v/>
      </c>
      <c r="G25" s="28">
        <f>IF($A25="","",SUMIFS('Orders Log'!$D$6:$D$505,'Orders Log'!$C$6:$C$505,$A25))</f>
        <v/>
      </c>
      <c r="H25" s="15">
        <f>IF($A25="","",SUMIFS('Orders Log'!$V$6:$V$505,'Orders Log'!$C$6:$C$505,$A25))</f>
        <v/>
      </c>
      <c r="I25" s="29">
        <f>IF($A25="","",$H25-ROW()/1000000000)</f>
        <v/>
      </c>
    </row>
    <row r="26">
      <c r="A26" s="13" t="n"/>
      <c r="B26" s="12" t="n"/>
      <c r="C26" s="12" t="n"/>
      <c r="D26" s="26" t="n"/>
      <c r="E26" s="15">
        <f>IF($A26="","",$D26/60*Settings!$C$5)</f>
        <v/>
      </c>
      <c r="F26" s="27">
        <f>IF($A26="","",$B26+$C26+$E26)</f>
        <v/>
      </c>
      <c r="G26" s="28">
        <f>IF($A26="","",SUMIFS('Orders Log'!$D$6:$D$505,'Orders Log'!$C$6:$C$505,$A26))</f>
        <v/>
      </c>
      <c r="H26" s="15">
        <f>IF($A26="","",SUMIFS('Orders Log'!$V$6:$V$505,'Orders Log'!$C$6:$C$505,$A26))</f>
        <v/>
      </c>
      <c r="I26" s="29">
        <f>IF($A26="","",$H26-ROW()/1000000000)</f>
        <v/>
      </c>
    </row>
    <row r="27">
      <c r="A27" s="13" t="n"/>
      <c r="B27" s="12" t="n"/>
      <c r="C27" s="12" t="n"/>
      <c r="D27" s="26" t="n"/>
      <c r="E27" s="15">
        <f>IF($A27="","",$D27/60*Settings!$C$5)</f>
        <v/>
      </c>
      <c r="F27" s="27">
        <f>IF($A27="","",$B27+$C27+$E27)</f>
        <v/>
      </c>
      <c r="G27" s="28">
        <f>IF($A27="","",SUMIFS('Orders Log'!$D$6:$D$505,'Orders Log'!$C$6:$C$505,$A27))</f>
        <v/>
      </c>
      <c r="H27" s="15">
        <f>IF($A27="","",SUMIFS('Orders Log'!$V$6:$V$505,'Orders Log'!$C$6:$C$505,$A27))</f>
        <v/>
      </c>
      <c r="I27" s="29">
        <f>IF($A27="","",$H27-ROW()/1000000000)</f>
        <v/>
      </c>
    </row>
    <row r="28">
      <c r="A28" s="13" t="n"/>
      <c r="B28" s="12" t="n"/>
      <c r="C28" s="12" t="n"/>
      <c r="D28" s="26" t="n"/>
      <c r="E28" s="15">
        <f>IF($A28="","",$D28/60*Settings!$C$5)</f>
        <v/>
      </c>
      <c r="F28" s="27">
        <f>IF($A28="","",$B28+$C28+$E28)</f>
        <v/>
      </c>
      <c r="G28" s="28">
        <f>IF($A28="","",SUMIFS('Orders Log'!$D$6:$D$505,'Orders Log'!$C$6:$C$505,$A28))</f>
        <v/>
      </c>
      <c r="H28" s="15">
        <f>IF($A28="","",SUMIFS('Orders Log'!$V$6:$V$505,'Orders Log'!$C$6:$C$505,$A28))</f>
        <v/>
      </c>
      <c r="I28" s="29">
        <f>IF($A28="","",$H28-ROW()/1000000000)</f>
        <v/>
      </c>
    </row>
    <row r="29">
      <c r="A29" s="13" t="n"/>
      <c r="B29" s="12" t="n"/>
      <c r="C29" s="12" t="n"/>
      <c r="D29" s="26" t="n"/>
      <c r="E29" s="15">
        <f>IF($A29="","",$D29/60*Settings!$C$5)</f>
        <v/>
      </c>
      <c r="F29" s="27">
        <f>IF($A29="","",$B29+$C29+$E29)</f>
        <v/>
      </c>
      <c r="G29" s="28">
        <f>IF($A29="","",SUMIFS('Orders Log'!$D$6:$D$505,'Orders Log'!$C$6:$C$505,$A29))</f>
        <v/>
      </c>
      <c r="H29" s="15">
        <f>IF($A29="","",SUMIFS('Orders Log'!$V$6:$V$505,'Orders Log'!$C$6:$C$505,$A29))</f>
        <v/>
      </c>
      <c r="I29" s="29">
        <f>IF($A29="","",$H29-ROW()/1000000000)</f>
        <v/>
      </c>
    </row>
    <row r="30">
      <c r="A30" s="13" t="n"/>
      <c r="B30" s="12" t="n"/>
      <c r="C30" s="12" t="n"/>
      <c r="D30" s="26" t="n"/>
      <c r="E30" s="15">
        <f>IF($A30="","",$D30/60*Settings!$C$5)</f>
        <v/>
      </c>
      <c r="F30" s="27">
        <f>IF($A30="","",$B30+$C30+$E30)</f>
        <v/>
      </c>
      <c r="G30" s="28">
        <f>IF($A30="","",SUMIFS('Orders Log'!$D$6:$D$505,'Orders Log'!$C$6:$C$505,$A30))</f>
        <v/>
      </c>
      <c r="H30" s="15">
        <f>IF($A30="","",SUMIFS('Orders Log'!$V$6:$V$505,'Orders Log'!$C$6:$C$505,$A30))</f>
        <v/>
      </c>
      <c r="I30" s="29">
        <f>IF($A30="","",$H30-ROW()/1000000000)</f>
        <v/>
      </c>
    </row>
    <row r="31">
      <c r="A31" s="13" t="n"/>
      <c r="B31" s="12" t="n"/>
      <c r="C31" s="12" t="n"/>
      <c r="D31" s="26" t="n"/>
      <c r="E31" s="15">
        <f>IF($A31="","",$D31/60*Settings!$C$5)</f>
        <v/>
      </c>
      <c r="F31" s="27">
        <f>IF($A31="","",$B31+$C31+$E31)</f>
        <v/>
      </c>
      <c r="G31" s="28">
        <f>IF($A31="","",SUMIFS('Orders Log'!$D$6:$D$505,'Orders Log'!$C$6:$C$505,$A31))</f>
        <v/>
      </c>
      <c r="H31" s="15">
        <f>IF($A31="","",SUMIFS('Orders Log'!$V$6:$V$505,'Orders Log'!$C$6:$C$505,$A31))</f>
        <v/>
      </c>
      <c r="I31" s="29">
        <f>IF($A31="","",$H31-ROW()/1000000000)</f>
        <v/>
      </c>
    </row>
    <row r="32">
      <c r="A32" s="13" t="n"/>
      <c r="B32" s="12" t="n"/>
      <c r="C32" s="12" t="n"/>
      <c r="D32" s="26" t="n"/>
      <c r="E32" s="15">
        <f>IF($A32="","",$D32/60*Settings!$C$5)</f>
        <v/>
      </c>
      <c r="F32" s="27">
        <f>IF($A32="","",$B32+$C32+$E32)</f>
        <v/>
      </c>
      <c r="G32" s="28">
        <f>IF($A32="","",SUMIFS('Orders Log'!$D$6:$D$505,'Orders Log'!$C$6:$C$505,$A32))</f>
        <v/>
      </c>
      <c r="H32" s="15">
        <f>IF($A32="","",SUMIFS('Orders Log'!$V$6:$V$505,'Orders Log'!$C$6:$C$505,$A32))</f>
        <v/>
      </c>
      <c r="I32" s="29">
        <f>IF($A32="","",$H32-ROW()/1000000000)</f>
        <v/>
      </c>
    </row>
    <row r="33">
      <c r="A33" s="13" t="n"/>
      <c r="B33" s="12" t="n"/>
      <c r="C33" s="12" t="n"/>
      <c r="D33" s="26" t="n"/>
      <c r="E33" s="15">
        <f>IF($A33="","",$D33/60*Settings!$C$5)</f>
        <v/>
      </c>
      <c r="F33" s="27">
        <f>IF($A33="","",$B33+$C33+$E33)</f>
        <v/>
      </c>
      <c r="G33" s="28">
        <f>IF($A33="","",SUMIFS('Orders Log'!$D$6:$D$505,'Orders Log'!$C$6:$C$505,$A33))</f>
        <v/>
      </c>
      <c r="H33" s="15">
        <f>IF($A33="","",SUMIFS('Orders Log'!$V$6:$V$505,'Orders Log'!$C$6:$C$505,$A33))</f>
        <v/>
      </c>
      <c r="I33" s="29">
        <f>IF($A33="","",$H33-ROW()/1000000000)</f>
        <v/>
      </c>
    </row>
    <row r="34">
      <c r="A34" s="13" t="n"/>
      <c r="B34" s="12" t="n"/>
      <c r="C34" s="12" t="n"/>
      <c r="D34" s="26" t="n"/>
      <c r="E34" s="15">
        <f>IF($A34="","",$D34/60*Settings!$C$5)</f>
        <v/>
      </c>
      <c r="F34" s="27">
        <f>IF($A34="","",$B34+$C34+$E34)</f>
        <v/>
      </c>
      <c r="G34" s="28">
        <f>IF($A34="","",SUMIFS('Orders Log'!$D$6:$D$505,'Orders Log'!$C$6:$C$505,$A34))</f>
        <v/>
      </c>
      <c r="H34" s="15">
        <f>IF($A34="","",SUMIFS('Orders Log'!$V$6:$V$505,'Orders Log'!$C$6:$C$505,$A34))</f>
        <v/>
      </c>
      <c r="I34" s="29">
        <f>IF($A34="","",$H34-ROW()/1000000000)</f>
        <v/>
      </c>
    </row>
    <row r="35">
      <c r="A35" s="13" t="n"/>
      <c r="B35" s="12" t="n"/>
      <c r="C35" s="12" t="n"/>
      <c r="D35" s="26" t="n"/>
      <c r="E35" s="15">
        <f>IF($A35="","",$D35/60*Settings!$C$5)</f>
        <v/>
      </c>
      <c r="F35" s="27">
        <f>IF($A35="","",$B35+$C35+$E35)</f>
        <v/>
      </c>
      <c r="G35" s="28">
        <f>IF($A35="","",SUMIFS('Orders Log'!$D$6:$D$505,'Orders Log'!$C$6:$C$505,$A35))</f>
        <v/>
      </c>
      <c r="H35" s="15">
        <f>IF($A35="","",SUMIFS('Orders Log'!$V$6:$V$505,'Orders Log'!$C$6:$C$505,$A35))</f>
        <v/>
      </c>
      <c r="I35" s="29">
        <f>IF($A35="","",$H35-ROW()/1000000000)</f>
        <v/>
      </c>
    </row>
    <row r="36">
      <c r="A36" s="13" t="n"/>
      <c r="B36" s="12" t="n"/>
      <c r="C36" s="12" t="n"/>
      <c r="D36" s="26" t="n"/>
      <c r="E36" s="15">
        <f>IF($A36="","",$D36/60*Settings!$C$5)</f>
        <v/>
      </c>
      <c r="F36" s="27">
        <f>IF($A36="","",$B36+$C36+$E36)</f>
        <v/>
      </c>
      <c r="G36" s="28">
        <f>IF($A36="","",SUMIFS('Orders Log'!$D$6:$D$505,'Orders Log'!$C$6:$C$505,$A36))</f>
        <v/>
      </c>
      <c r="H36" s="15">
        <f>IF($A36="","",SUMIFS('Orders Log'!$V$6:$V$505,'Orders Log'!$C$6:$C$505,$A36))</f>
        <v/>
      </c>
      <c r="I36" s="29">
        <f>IF($A36="","",$H36-ROW()/1000000000)</f>
        <v/>
      </c>
    </row>
    <row r="37">
      <c r="A37" s="13" t="n"/>
      <c r="B37" s="12" t="n"/>
      <c r="C37" s="12" t="n"/>
      <c r="D37" s="26" t="n"/>
      <c r="E37" s="15">
        <f>IF($A37="","",$D37/60*Settings!$C$5)</f>
        <v/>
      </c>
      <c r="F37" s="27">
        <f>IF($A37="","",$B37+$C37+$E37)</f>
        <v/>
      </c>
      <c r="G37" s="28">
        <f>IF($A37="","",SUMIFS('Orders Log'!$D$6:$D$505,'Orders Log'!$C$6:$C$505,$A37))</f>
        <v/>
      </c>
      <c r="H37" s="15">
        <f>IF($A37="","",SUMIFS('Orders Log'!$V$6:$V$505,'Orders Log'!$C$6:$C$505,$A37))</f>
        <v/>
      </c>
      <c r="I37" s="29">
        <f>IF($A37="","",$H37-ROW()/1000000000)</f>
        <v/>
      </c>
    </row>
    <row r="38">
      <c r="A38" s="13" t="n"/>
      <c r="B38" s="12" t="n"/>
      <c r="C38" s="12" t="n"/>
      <c r="D38" s="26" t="n"/>
      <c r="E38" s="15">
        <f>IF($A38="","",$D38/60*Settings!$C$5)</f>
        <v/>
      </c>
      <c r="F38" s="27">
        <f>IF($A38="","",$B38+$C38+$E38)</f>
        <v/>
      </c>
      <c r="G38" s="28">
        <f>IF($A38="","",SUMIFS('Orders Log'!$D$6:$D$505,'Orders Log'!$C$6:$C$505,$A38))</f>
        <v/>
      </c>
      <c r="H38" s="15">
        <f>IF($A38="","",SUMIFS('Orders Log'!$V$6:$V$505,'Orders Log'!$C$6:$C$505,$A38))</f>
        <v/>
      </c>
      <c r="I38" s="29">
        <f>IF($A38="","",$H38-ROW()/1000000000)</f>
        <v/>
      </c>
    </row>
    <row r="39">
      <c r="A39" s="13" t="n"/>
      <c r="B39" s="12" t="n"/>
      <c r="C39" s="12" t="n"/>
      <c r="D39" s="26" t="n"/>
      <c r="E39" s="15">
        <f>IF($A39="","",$D39/60*Settings!$C$5)</f>
        <v/>
      </c>
      <c r="F39" s="27">
        <f>IF($A39="","",$B39+$C39+$E39)</f>
        <v/>
      </c>
      <c r="G39" s="28">
        <f>IF($A39="","",SUMIFS('Orders Log'!$D$6:$D$505,'Orders Log'!$C$6:$C$505,$A39))</f>
        <v/>
      </c>
      <c r="H39" s="15">
        <f>IF($A39="","",SUMIFS('Orders Log'!$V$6:$V$505,'Orders Log'!$C$6:$C$505,$A39))</f>
        <v/>
      </c>
      <c r="I39" s="29">
        <f>IF($A39="","",$H39-ROW()/1000000000)</f>
        <v/>
      </c>
    </row>
    <row r="40">
      <c r="A40" s="13" t="n"/>
      <c r="B40" s="12" t="n"/>
      <c r="C40" s="12" t="n"/>
      <c r="D40" s="26" t="n"/>
      <c r="E40" s="15">
        <f>IF($A40="","",$D40/60*Settings!$C$5)</f>
        <v/>
      </c>
      <c r="F40" s="27">
        <f>IF($A40="","",$B40+$C40+$E40)</f>
        <v/>
      </c>
      <c r="G40" s="28">
        <f>IF($A40="","",SUMIFS('Orders Log'!$D$6:$D$505,'Orders Log'!$C$6:$C$505,$A40))</f>
        <v/>
      </c>
      <c r="H40" s="15">
        <f>IF($A40="","",SUMIFS('Orders Log'!$V$6:$V$505,'Orders Log'!$C$6:$C$505,$A40))</f>
        <v/>
      </c>
      <c r="I40" s="29">
        <f>IF($A40="","",$H40-ROW()/1000000000)</f>
        <v/>
      </c>
    </row>
    <row r="41">
      <c r="A41" s="13" t="n"/>
      <c r="B41" s="12" t="n"/>
      <c r="C41" s="12" t="n"/>
      <c r="D41" s="26" t="n"/>
      <c r="E41" s="15">
        <f>IF($A41="","",$D41/60*Settings!$C$5)</f>
        <v/>
      </c>
      <c r="F41" s="27">
        <f>IF($A41="","",$B41+$C41+$E41)</f>
        <v/>
      </c>
      <c r="G41" s="28">
        <f>IF($A41="","",SUMIFS('Orders Log'!$D$6:$D$505,'Orders Log'!$C$6:$C$505,$A41))</f>
        <v/>
      </c>
      <c r="H41" s="15">
        <f>IF($A41="","",SUMIFS('Orders Log'!$V$6:$V$505,'Orders Log'!$C$6:$C$505,$A41))</f>
        <v/>
      </c>
      <c r="I41" s="29">
        <f>IF($A41="","",$H41-ROW()/1000000000)</f>
        <v/>
      </c>
    </row>
    <row r="42">
      <c r="A42" s="13" t="n"/>
      <c r="B42" s="12" t="n"/>
      <c r="C42" s="12" t="n"/>
      <c r="D42" s="26" t="n"/>
      <c r="E42" s="15">
        <f>IF($A42="","",$D42/60*Settings!$C$5)</f>
        <v/>
      </c>
      <c r="F42" s="27">
        <f>IF($A42="","",$B42+$C42+$E42)</f>
        <v/>
      </c>
      <c r="G42" s="28">
        <f>IF($A42="","",SUMIFS('Orders Log'!$D$6:$D$505,'Orders Log'!$C$6:$C$505,$A42))</f>
        <v/>
      </c>
      <c r="H42" s="15">
        <f>IF($A42="","",SUMIFS('Orders Log'!$V$6:$V$505,'Orders Log'!$C$6:$C$505,$A42))</f>
        <v/>
      </c>
      <c r="I42" s="29">
        <f>IF($A42="","",$H42-ROW()/1000000000)</f>
        <v/>
      </c>
    </row>
    <row r="43">
      <c r="A43" s="13" t="n"/>
      <c r="B43" s="12" t="n"/>
      <c r="C43" s="12" t="n"/>
      <c r="D43" s="26" t="n"/>
      <c r="E43" s="15">
        <f>IF($A43="","",$D43/60*Settings!$C$5)</f>
        <v/>
      </c>
      <c r="F43" s="27">
        <f>IF($A43="","",$B43+$C43+$E43)</f>
        <v/>
      </c>
      <c r="G43" s="28">
        <f>IF($A43="","",SUMIFS('Orders Log'!$D$6:$D$505,'Orders Log'!$C$6:$C$505,$A43))</f>
        <v/>
      </c>
      <c r="H43" s="15">
        <f>IF($A43="","",SUMIFS('Orders Log'!$V$6:$V$505,'Orders Log'!$C$6:$C$505,$A43))</f>
        <v/>
      </c>
      <c r="I43" s="29">
        <f>IF($A43="","",$H43-ROW()/1000000000)</f>
        <v/>
      </c>
    </row>
    <row r="44">
      <c r="A44" s="13" t="n"/>
      <c r="B44" s="12" t="n"/>
      <c r="C44" s="12" t="n"/>
      <c r="D44" s="26" t="n"/>
      <c r="E44" s="15">
        <f>IF($A44="","",$D44/60*Settings!$C$5)</f>
        <v/>
      </c>
      <c r="F44" s="27">
        <f>IF($A44="","",$B44+$C44+$E44)</f>
        <v/>
      </c>
      <c r="G44" s="28">
        <f>IF($A44="","",SUMIFS('Orders Log'!$D$6:$D$505,'Orders Log'!$C$6:$C$505,$A44))</f>
        <v/>
      </c>
      <c r="H44" s="15">
        <f>IF($A44="","",SUMIFS('Orders Log'!$V$6:$V$505,'Orders Log'!$C$6:$C$505,$A44))</f>
        <v/>
      </c>
      <c r="I44" s="29">
        <f>IF($A44="","",$H44-ROW()/1000000000)</f>
        <v/>
      </c>
    </row>
    <row r="45">
      <c r="A45" s="13" t="n"/>
      <c r="B45" s="12" t="n"/>
      <c r="C45" s="12" t="n"/>
      <c r="D45" s="26" t="n"/>
      <c r="E45" s="15">
        <f>IF($A45="","",$D45/60*Settings!$C$5)</f>
        <v/>
      </c>
      <c r="F45" s="27">
        <f>IF($A45="","",$B45+$C45+$E45)</f>
        <v/>
      </c>
      <c r="G45" s="28">
        <f>IF($A45="","",SUMIFS('Orders Log'!$D$6:$D$505,'Orders Log'!$C$6:$C$505,$A45))</f>
        <v/>
      </c>
      <c r="H45" s="15">
        <f>IF($A45="","",SUMIFS('Orders Log'!$V$6:$V$505,'Orders Log'!$C$6:$C$505,$A45))</f>
        <v/>
      </c>
      <c r="I45" s="29">
        <f>IF($A45="","",$H45-ROW()/1000000000)</f>
        <v/>
      </c>
    </row>
    <row r="46">
      <c r="A46" s="13" t="n"/>
      <c r="B46" s="12" t="n"/>
      <c r="C46" s="12" t="n"/>
      <c r="D46" s="26" t="n"/>
      <c r="E46" s="15">
        <f>IF($A46="","",$D46/60*Settings!$C$5)</f>
        <v/>
      </c>
      <c r="F46" s="27">
        <f>IF($A46="","",$B46+$C46+$E46)</f>
        <v/>
      </c>
      <c r="G46" s="28">
        <f>IF($A46="","",SUMIFS('Orders Log'!$D$6:$D$505,'Orders Log'!$C$6:$C$505,$A46))</f>
        <v/>
      </c>
      <c r="H46" s="15">
        <f>IF($A46="","",SUMIFS('Orders Log'!$V$6:$V$505,'Orders Log'!$C$6:$C$505,$A46))</f>
        <v/>
      </c>
      <c r="I46" s="29">
        <f>IF($A46="","",$H46-ROW()/1000000000)</f>
        <v/>
      </c>
    </row>
    <row r="47">
      <c r="A47" s="13" t="n"/>
      <c r="B47" s="12" t="n"/>
      <c r="C47" s="12" t="n"/>
      <c r="D47" s="26" t="n"/>
      <c r="E47" s="15">
        <f>IF($A47="","",$D47/60*Settings!$C$5)</f>
        <v/>
      </c>
      <c r="F47" s="27">
        <f>IF($A47="","",$B47+$C47+$E47)</f>
        <v/>
      </c>
      <c r="G47" s="28">
        <f>IF($A47="","",SUMIFS('Orders Log'!$D$6:$D$505,'Orders Log'!$C$6:$C$505,$A47))</f>
        <v/>
      </c>
      <c r="H47" s="15">
        <f>IF($A47="","",SUMIFS('Orders Log'!$V$6:$V$505,'Orders Log'!$C$6:$C$505,$A47))</f>
        <v/>
      </c>
      <c r="I47" s="29">
        <f>IF($A47="","",$H47-ROW()/1000000000)</f>
        <v/>
      </c>
    </row>
    <row r="48">
      <c r="A48" s="13" t="n"/>
      <c r="B48" s="12" t="n"/>
      <c r="C48" s="12" t="n"/>
      <c r="D48" s="26" t="n"/>
      <c r="E48" s="15">
        <f>IF($A48="","",$D48/60*Settings!$C$5)</f>
        <v/>
      </c>
      <c r="F48" s="27">
        <f>IF($A48="","",$B48+$C48+$E48)</f>
        <v/>
      </c>
      <c r="G48" s="28">
        <f>IF($A48="","",SUMIFS('Orders Log'!$D$6:$D$505,'Orders Log'!$C$6:$C$505,$A48))</f>
        <v/>
      </c>
      <c r="H48" s="15">
        <f>IF($A48="","",SUMIFS('Orders Log'!$V$6:$V$505,'Orders Log'!$C$6:$C$505,$A48))</f>
        <v/>
      </c>
      <c r="I48" s="29">
        <f>IF($A48="","",$H48-ROW()/1000000000)</f>
        <v/>
      </c>
    </row>
    <row r="49">
      <c r="A49" s="13" t="n"/>
      <c r="B49" s="12" t="n"/>
      <c r="C49" s="12" t="n"/>
      <c r="D49" s="26" t="n"/>
      <c r="E49" s="15">
        <f>IF($A49="","",$D49/60*Settings!$C$5)</f>
        <v/>
      </c>
      <c r="F49" s="27">
        <f>IF($A49="","",$B49+$C49+$E49)</f>
        <v/>
      </c>
      <c r="G49" s="28">
        <f>IF($A49="","",SUMIFS('Orders Log'!$D$6:$D$505,'Orders Log'!$C$6:$C$505,$A49))</f>
        <v/>
      </c>
      <c r="H49" s="15">
        <f>IF($A49="","",SUMIFS('Orders Log'!$V$6:$V$505,'Orders Log'!$C$6:$C$505,$A49))</f>
        <v/>
      </c>
      <c r="I49" s="29">
        <f>IF($A49="","",$H49-ROW()/1000000000)</f>
        <v/>
      </c>
    </row>
    <row r="50">
      <c r="A50" s="13" t="n"/>
      <c r="B50" s="12" t="n"/>
      <c r="C50" s="12" t="n"/>
      <c r="D50" s="26" t="n"/>
      <c r="E50" s="15">
        <f>IF($A50="","",$D50/60*Settings!$C$5)</f>
        <v/>
      </c>
      <c r="F50" s="27">
        <f>IF($A50="","",$B50+$C50+$E50)</f>
        <v/>
      </c>
      <c r="G50" s="28">
        <f>IF($A50="","",SUMIFS('Orders Log'!$D$6:$D$505,'Orders Log'!$C$6:$C$505,$A50))</f>
        <v/>
      </c>
      <c r="H50" s="15">
        <f>IF($A50="","",SUMIFS('Orders Log'!$V$6:$V$505,'Orders Log'!$C$6:$C$505,$A50))</f>
        <v/>
      </c>
      <c r="I50" s="29">
        <f>IF($A50="","",$H50-ROW()/1000000000)</f>
        <v/>
      </c>
    </row>
    <row r="51">
      <c r="A51" s="13" t="n"/>
      <c r="B51" s="12" t="n"/>
      <c r="C51" s="12" t="n"/>
      <c r="D51" s="26" t="n"/>
      <c r="E51" s="15">
        <f>IF($A51="","",$D51/60*Settings!$C$5)</f>
        <v/>
      </c>
      <c r="F51" s="27">
        <f>IF($A51="","",$B51+$C51+$E51)</f>
        <v/>
      </c>
      <c r="G51" s="28">
        <f>IF($A51="","",SUMIFS('Orders Log'!$D$6:$D$505,'Orders Log'!$C$6:$C$505,$A51))</f>
        <v/>
      </c>
      <c r="H51" s="15">
        <f>IF($A51="","",SUMIFS('Orders Log'!$V$6:$V$505,'Orders Log'!$C$6:$C$505,$A51))</f>
        <v/>
      </c>
      <c r="I51" s="29">
        <f>IF($A51="","",$H51-ROW()/1000000000)</f>
        <v/>
      </c>
    </row>
    <row r="52">
      <c r="A52" s="13" t="n"/>
      <c r="B52" s="12" t="n"/>
      <c r="C52" s="12" t="n"/>
      <c r="D52" s="26" t="n"/>
      <c r="E52" s="15">
        <f>IF($A52="","",$D52/60*Settings!$C$5)</f>
        <v/>
      </c>
      <c r="F52" s="27">
        <f>IF($A52="","",$B52+$C52+$E52)</f>
        <v/>
      </c>
      <c r="G52" s="28">
        <f>IF($A52="","",SUMIFS('Orders Log'!$D$6:$D$505,'Orders Log'!$C$6:$C$505,$A52))</f>
        <v/>
      </c>
      <c r="H52" s="15">
        <f>IF($A52="","",SUMIFS('Orders Log'!$V$6:$V$505,'Orders Log'!$C$6:$C$505,$A52))</f>
        <v/>
      </c>
      <c r="I52" s="29">
        <f>IF($A52="","",$H52-ROW()/1000000000)</f>
        <v/>
      </c>
    </row>
    <row r="53">
      <c r="A53" s="13" t="n"/>
      <c r="B53" s="12" t="n"/>
      <c r="C53" s="12" t="n"/>
      <c r="D53" s="26" t="n"/>
      <c r="E53" s="15">
        <f>IF($A53="","",$D53/60*Settings!$C$5)</f>
        <v/>
      </c>
      <c r="F53" s="27">
        <f>IF($A53="","",$B53+$C53+$E53)</f>
        <v/>
      </c>
      <c r="G53" s="28">
        <f>IF($A53="","",SUMIFS('Orders Log'!$D$6:$D$505,'Orders Log'!$C$6:$C$505,$A53))</f>
        <v/>
      </c>
      <c r="H53" s="15">
        <f>IF($A53="","",SUMIFS('Orders Log'!$V$6:$V$505,'Orders Log'!$C$6:$C$505,$A53))</f>
        <v/>
      </c>
      <c r="I53" s="29">
        <f>IF($A53="","",$H53-ROW()/1000000000)</f>
        <v/>
      </c>
    </row>
    <row r="54">
      <c r="A54" s="13" t="n"/>
      <c r="B54" s="12" t="n"/>
      <c r="C54" s="12" t="n"/>
      <c r="D54" s="26" t="n"/>
      <c r="E54" s="15">
        <f>IF($A54="","",$D54/60*Settings!$C$5)</f>
        <v/>
      </c>
      <c r="F54" s="27">
        <f>IF($A54="","",$B54+$C54+$E54)</f>
        <v/>
      </c>
      <c r="G54" s="28">
        <f>IF($A54="","",SUMIFS('Orders Log'!$D$6:$D$505,'Orders Log'!$C$6:$C$505,$A54))</f>
        <v/>
      </c>
      <c r="H54" s="15">
        <f>IF($A54="","",SUMIFS('Orders Log'!$V$6:$V$505,'Orders Log'!$C$6:$C$505,$A54))</f>
        <v/>
      </c>
      <c r="I54" s="29">
        <f>IF($A54="","",$H54-ROW()/1000000000)</f>
        <v/>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 customWidth="1" min="1" max="1"/>
    <col width="46" customWidth="1" min="2" max="2"/>
    <col width="16" customWidth="1" min="3" max="3"/>
    <col width="16" customWidth="1" min="4" max="4"/>
    <col width="60" customWidth="1" min="5" max="5"/>
  </cols>
  <sheetData>
    <row r="1">
      <c r="A1" s="8" t="inlineStr">
        <is>
          <t>Price Calculator</t>
        </is>
      </c>
    </row>
    <row r="2">
      <c r="A2" s="9" t="inlineStr">
        <is>
          <t>One item, Etsy vs Shopify side by side. Fill the yellow cells.</t>
        </is>
      </c>
    </row>
    <row r="3">
      <c r="B3" s="10" t="inlineStr">
        <is>
          <t>INPUTS</t>
        </is>
      </c>
    </row>
    <row r="4">
      <c r="B4" s="11" t="inlineStr">
        <is>
          <t>Product</t>
        </is>
      </c>
      <c r="C4" s="13" t="inlineStr">
        <is>
          <t>Ceramic Mug</t>
        </is>
      </c>
      <c r="E4" s="9" t="inlineStr">
        <is>
          <t>Pick from your Products tab.</t>
        </is>
      </c>
    </row>
    <row r="5">
      <c r="B5" s="11" t="inlineStr">
        <is>
          <t>Your unit cost (from Products)</t>
        </is>
      </c>
      <c r="C5" s="15">
        <f>IFERROR(INDEX(Products!$F$5:$F$54,MATCH($C$4,Products!$A$5:$A$54,0)),0)</f>
        <v/>
      </c>
    </row>
    <row r="6">
      <c r="B6" s="11" t="inlineStr">
        <is>
          <t>Item price</t>
        </is>
      </c>
      <c r="C6" s="12" t="n">
        <v>32</v>
      </c>
      <c r="E6" s="9" t="inlineStr"/>
    </row>
    <row r="7">
      <c r="B7" s="11" t="inlineStr">
        <is>
          <t>Shipping charged to the buyer</t>
        </is>
      </c>
      <c r="C7" s="12" t="n">
        <v>6.95</v>
      </c>
      <c r="E7" s="9" t="inlineStr">
        <is>
          <t>0 for free shipping.</t>
        </is>
      </c>
    </row>
    <row r="8">
      <c r="B8" s="11" t="inlineStr">
        <is>
          <t>Your shipping cost (label + postage)</t>
        </is>
      </c>
      <c r="C8" s="12" t="n">
        <v>7.2</v>
      </c>
      <c r="E8" s="9" t="inlineStr"/>
    </row>
    <row r="9">
      <c r="B9" s="11" t="inlineStr">
        <is>
          <t>Sold via Etsy Offsite Ad? (Y/N)</t>
        </is>
      </c>
      <c r="C9" s="13" t="inlineStr">
        <is>
          <t>N</t>
        </is>
      </c>
      <c r="E9" s="9" t="inlineStr">
        <is>
          <t>Etsy only. Rate comes from Settings (15% or 12%).</t>
        </is>
      </c>
    </row>
    <row r="10">
      <c r="B10" s="11" t="inlineStr">
        <is>
          <t>Expected Shopify orders per month</t>
        </is>
      </c>
      <c r="C10" s="26" t="n">
        <v>30</v>
      </c>
      <c r="E10" s="9" t="inlineStr">
        <is>
          <t>Spreads the Shopify plan cost over your orders.</t>
        </is>
      </c>
    </row>
    <row r="11">
      <c r="B11" s="11" t="inlineStr">
        <is>
          <t>Target margin (for reverse mode)</t>
        </is>
      </c>
      <c r="C11" s="30" t="n">
        <v>0.3</v>
      </c>
      <c r="E11" s="9" t="inlineStr">
        <is>
          <t>Profit as % of what the buyer pays.</t>
        </is>
      </c>
    </row>
    <row r="13">
      <c r="B13" s="16" t="inlineStr">
        <is>
          <t>Per order</t>
        </is>
      </c>
      <c r="C13" s="16" t="inlineStr">
        <is>
          <t>Etsy</t>
        </is>
      </c>
      <c r="D13" s="16" t="inlineStr">
        <is>
          <t>Shopify</t>
        </is>
      </c>
      <c r="E13" s="9" t="inlineStr">
        <is>
          <t>Shopify plan &amp; provider are set on the Settings tab.</t>
        </is>
      </c>
    </row>
    <row r="14">
      <c r="B14" s="11" t="inlineStr">
        <is>
          <t>Item price</t>
        </is>
      </c>
      <c r="C14" s="15">
        <f>$C$6</f>
        <v/>
      </c>
      <c r="D14" s="15">
        <f>$C$6</f>
        <v/>
      </c>
    </row>
    <row r="15">
      <c r="B15" s="11" t="inlineStr">
        <is>
          <t>Shipping charged</t>
        </is>
      </c>
      <c r="C15" s="15">
        <f>$C$7</f>
        <v/>
      </c>
      <c r="D15" s="15">
        <f>$C$7</f>
        <v/>
      </c>
    </row>
    <row r="16">
      <c r="B16" s="25" t="inlineStr">
        <is>
          <t>Order total (buyer pays)</t>
        </is>
      </c>
      <c r="C16" s="27">
        <f>C14+C15</f>
        <v/>
      </c>
      <c r="D16" s="27">
        <f>D14+D15</f>
        <v/>
      </c>
    </row>
    <row r="17">
      <c r="B17" s="11" t="inlineStr">
        <is>
          <t>Listing fee</t>
        </is>
      </c>
      <c r="C17" s="15">
        <f>Settings!$C$19</f>
        <v/>
      </c>
      <c r="D17" s="15">
        <f>0</f>
        <v/>
      </c>
    </row>
    <row r="18">
      <c r="B18" s="11" t="inlineStr">
        <is>
          <t>Transaction fee</t>
        </is>
      </c>
      <c r="C18" s="15">
        <f>Settings!$C$20*C16</f>
        <v/>
      </c>
      <c r="D18" s="15">
        <f>0</f>
        <v/>
      </c>
    </row>
    <row r="19">
      <c r="B19" s="11" t="inlineStr">
        <is>
          <t>Payment processing</t>
        </is>
      </c>
      <c r="C19" s="15">
        <f>Settings!$C$21*(1+Settings!$C$55)*C16+Settings!$C$22</f>
        <v/>
      </c>
      <c r="D19" s="15">
        <f>Settings!$C$14*D16+Settings!$C$15</f>
        <v/>
      </c>
    </row>
    <row r="20">
      <c r="B20" s="11" t="inlineStr">
        <is>
          <t>Offsite Ads fee</t>
        </is>
      </c>
      <c r="C20" s="15">
        <f>MIN(IF($C$9="Y",Settings!$C$12,0)*C16,Settings!$C$25)</f>
        <v/>
      </c>
      <c r="D20" s="15">
        <f>0</f>
        <v/>
      </c>
    </row>
    <row r="21">
      <c r="B21" s="11" t="inlineStr">
        <is>
          <t>Shopify plan cost per order</t>
        </is>
      </c>
      <c r="C21" s="15">
        <f>0</f>
        <v/>
      </c>
      <c r="D21" s="15">
        <f>IF($C$10&gt;0,Settings!$C$13/$C$10,0)</f>
        <v/>
      </c>
    </row>
    <row r="22">
      <c r="B22" s="25" t="inlineStr">
        <is>
          <t>Total fees</t>
        </is>
      </c>
      <c r="C22" s="27">
        <f>SUM(C17:C21)</f>
        <v/>
      </c>
      <c r="D22" s="27">
        <f>SUM(D17:D21)</f>
        <v/>
      </c>
    </row>
    <row r="23">
      <c r="B23" s="11" t="inlineStr">
        <is>
          <t>Product cost</t>
        </is>
      </c>
      <c r="C23" s="15">
        <f>$C$5</f>
        <v/>
      </c>
      <c r="D23" s="15">
        <f>$C$5</f>
        <v/>
      </c>
    </row>
    <row r="24">
      <c r="B24" s="11" t="inlineStr">
        <is>
          <t>Shipping cost</t>
        </is>
      </c>
      <c r="C24" s="15">
        <f>$C$8</f>
        <v/>
      </c>
      <c r="D24" s="15">
        <f>$C$8</f>
        <v/>
      </c>
    </row>
    <row r="25">
      <c r="B25" s="25" t="inlineStr">
        <is>
          <t>NET PROFIT</t>
        </is>
      </c>
      <c r="C25" s="27">
        <f>C16-C22-C23-C24</f>
        <v/>
      </c>
      <c r="D25" s="27">
        <f>D16-D22-D23-D24</f>
        <v/>
      </c>
    </row>
    <row r="26">
      <c r="B26" s="11" t="inlineStr">
        <is>
          <t>Margin (profit / order total)</t>
        </is>
      </c>
      <c r="C26" s="31">
        <f>IF(C16&gt;0,C25/C16,"")</f>
        <v/>
      </c>
      <c r="D26" s="31">
        <f>IF(D16&gt;0,D25/D16,"")</f>
        <v/>
      </c>
    </row>
    <row r="27">
      <c r="B27" s="11" t="inlineStr">
        <is>
          <t>Shopify minus Etsy profit per order</t>
        </is>
      </c>
      <c r="D27" s="27">
        <f>D25-C25</f>
        <v/>
      </c>
    </row>
    <row r="29">
      <c r="B29" s="10" t="inlineStr">
        <is>
          <t>REVERSE MODE: price to charge for your target margin</t>
        </is>
      </c>
    </row>
    <row r="30">
      <c r="B30" s="16" t="inlineStr"/>
      <c r="C30" s="16" t="inlineStr">
        <is>
          <t>Etsy</t>
        </is>
      </c>
      <c r="D30" s="16" t="inlineStr">
        <is>
          <t>Shopify</t>
        </is>
      </c>
    </row>
    <row r="31">
      <c r="B31" s="25" t="inlineStr">
        <is>
          <t>Item price needed (shipping charged stays as entered)</t>
        </is>
      </c>
      <c r="C31" s="27">
        <f>IF(1-(Settings!$C$20+Settings!$C$21*(1+Settings!$C$55))-IF($C$9="Y",Settings!$C$12,0)-$C$11&lt;=0,"Not reachable",MAX(0,ROUNDUP(IF(IF($C$9="Y",Settings!$C$12,0)*(Settings!$C$19+Settings!$C$22+$C$5+$C$8)/(1-(Settings!$C$20+Settings!$C$21*(1+Settings!$C$55))-IF($C$9="Y",Settings!$C$12,0)-$C$11)&gt;Settings!$C$25,((Settings!$C$19+Settings!$C$22+$C$5+$C$8)+Settings!$C$25)/(1-(Settings!$C$20+Settings!$C$21*(1+Settings!$C$55))-$C$11),(Settings!$C$19+Settings!$C$22+$C$5+$C$8)/(1-(Settings!$C$20+Settings!$C$21*(1+Settings!$C$55))-IF($C$9="Y",Settings!$C$12,0)-$C$11))-$C$7,2)))</f>
        <v/>
      </c>
      <c r="D31" s="27">
        <f>IF(1-Settings!$C$14-$C$11&lt;=0,"Not reachable",MAX(0,ROUNDUP((Settings!$C$15+IF($C$10&gt;0,Settings!$C$13/$C$10,0)+$C$5+$C$8)/(1-Settings!$C$14-$C$11)-$C$7,2)))</f>
        <v/>
      </c>
      <c r="E31" s="9" t="inlineStr">
        <is>
          <t>Rounded up to the cent. Uses the same fees, costs and Offsite Ad setting as above.</t>
        </is>
      </c>
    </row>
    <row r="33">
      <c r="B33" s="10" t="inlineStr">
        <is>
          <t>WHEN DOES SHOPIFY PAY OFF?</t>
        </is>
      </c>
    </row>
    <row r="34">
      <c r="B34" s="11" t="inlineStr">
        <is>
          <t>Etsy fees per order at this price</t>
        </is>
      </c>
      <c r="C34" s="15">
        <f>C22</f>
        <v/>
      </c>
    </row>
    <row r="35">
      <c r="B35" s="11" t="inlineStr">
        <is>
          <t>Shopify fees per order, before the plan cost</t>
        </is>
      </c>
      <c r="C35" s="15">
        <f>D22-D21</f>
        <v/>
      </c>
    </row>
    <row r="36">
      <c r="B36" s="11" t="inlineStr">
        <is>
          <t>You save per order on Shopify</t>
        </is>
      </c>
      <c r="C36" s="15">
        <f>C34-C35</f>
        <v/>
      </c>
    </row>
    <row r="37">
      <c r="B37" s="11" t="inlineStr">
        <is>
          <t>Shopify plan cost per month (Settings)</t>
        </is>
      </c>
      <c r="C37" s="15">
        <f>Settings!$C$13</f>
        <v/>
      </c>
    </row>
    <row r="38">
      <c r="B38" s="25" t="inlineStr">
        <is>
          <t>Orders per month where Shopify's plan pays for itself</t>
        </is>
      </c>
      <c r="C38" s="32">
        <f>IF(C36&lt;=0,"Never at this price",ROUNDUP(C37/C36,0))</f>
        <v/>
      </c>
    </row>
    <row r="39">
      <c r="B39" s="7">
        <f>IF(ISNUMBER(C38),"From "&amp;C38&amp;" orders a month at this price, Shopify's lower per-order fees cover its plan cost.","At this price Etsy's per-order fees are not higher than Shopify's, so the plan never pays for itself.")</f>
        <v/>
      </c>
      <c r="C39" s="33" t="n"/>
      <c r="D39" s="33" t="n"/>
      <c r="E39" s="34" t="n"/>
    </row>
    <row r="40">
      <c r="B40" s="9" t="inlineStr">
        <is>
          <t>Leaves out the cost of bringing your own traffic to Shopify (ads, apps, theme) and Etsy Ads. Treat it as a floor, not a promise.</t>
        </is>
      </c>
    </row>
  </sheetData>
  <sheetProtection selectLockedCells="0" selectUnlockedCells="0" sheet="1" objects="0" insertRows="1" insertHyperlinks="1" autoFilter="1" scenarios="0" formatColumns="0" deleteColumns="1" insertColumns="1" pivotTables="1" deleteRows="1" formatCells="0" formatRows="0" sort="1"/>
  <mergeCells count="2">
    <mergeCell ref="B39:E39"/>
    <mergeCell ref="B40:E40"/>
  </mergeCells>
  <dataValidations count="2">
    <dataValidation sqref="C4" showDropDown="0" showInputMessage="0" showErrorMessage="0" allowBlank="1" errorTitle="Pick from the list" error="Please pick a value from the list." type="list">
      <formula1>Products!$A$5:$A$54</formula1>
    </dataValidation>
    <dataValidation sqref="C9" showDropDown="0" showInputMessage="0" showErrorMessage="0" allowBlank="1" errorTitle="Pick from the list" error="Please pick a value from the list."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50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20" customWidth="1" min="3" max="3"/>
    <col width="6" customWidth="1" min="4" max="4"/>
    <col width="10" customWidth="1" min="5" max="5"/>
    <col width="10" customWidth="1" min="6" max="6"/>
    <col width="10" customWidth="1" min="7" max="7"/>
    <col width="10" customWidth="1" min="8" max="8"/>
    <col width="10" customWidth="1" min="9" max="9"/>
    <col width="10" customWidth="1" min="10" max="10"/>
    <col width="12" customWidth="1" min="11" max="11"/>
    <col width="10" customWidth="1" min="12" max="12"/>
    <col width="11" customWidth="1" min="13" max="13"/>
    <col width="9" customWidth="1" min="14" max="14"/>
    <col width="11" customWidth="1" min="15" max="15"/>
    <col width="11" customWidth="1" min="16" max="16"/>
    <col width="10" customWidth="1" min="17" max="17"/>
    <col width="10" customWidth="1" min="18" max="18"/>
    <col width="10" customWidth="1" min="19" max="19"/>
    <col width="10" customWidth="1" min="20" max="20"/>
    <col width="10" customWidth="1" min="21" max="21"/>
    <col width="11" customWidth="1" min="22" max="22"/>
    <col width="8" customWidth="1" min="23" max="23"/>
    <col width="10" customWidth="1" min="24" max="24"/>
  </cols>
  <sheetData>
    <row r="1">
      <c r="A1" s="8" t="inlineStr">
        <is>
          <t>Orders Log</t>
        </is>
      </c>
    </row>
    <row r="2">
      <c r="A2" s="9" t="inlineStr">
        <is>
          <t>One row per order. Fill the yellow columns A-L; everything blue is worked out for you. Sales tax collected by Etsy is NOT revenue - leave it out.</t>
        </is>
      </c>
    </row>
    <row r="3">
      <c r="A3" s="9" t="inlineStr">
        <is>
          <t>Product cost uses today's unit cost from the Products tab. Pre-sized for 500 orders (rows 6-505).</t>
        </is>
      </c>
    </row>
    <row r="5" ht="58" customHeight="1">
      <c r="A5" s="16" t="inlineStr">
        <is>
          <t>Date</t>
        </is>
      </c>
      <c r="B5" s="16" t="inlineStr">
        <is>
          <t>Platform</t>
        </is>
      </c>
      <c r="C5" s="16" t="inlineStr">
        <is>
          <t>Product</t>
        </is>
      </c>
      <c r="D5" s="16" t="inlineStr">
        <is>
          <t>Qty</t>
        </is>
      </c>
      <c r="E5" s="16" t="inlineStr">
        <is>
          <t>Item price (each)</t>
        </is>
      </c>
      <c r="F5" s="16" t="inlineStr">
        <is>
          <t>Shipping charged</t>
        </is>
      </c>
      <c r="G5" s="16" t="inlineStr">
        <is>
          <t>Your shipping cost</t>
        </is>
      </c>
      <c r="H5" s="16" t="inlineStr">
        <is>
          <t>Discount ($ off order)</t>
        </is>
      </c>
      <c r="I5" s="16" t="inlineStr">
        <is>
          <t>Sold via Offsite Ad? (Etsy)</t>
        </is>
      </c>
      <c r="J5" s="16" t="inlineStr">
        <is>
          <t>Refunded?</t>
        </is>
      </c>
      <c r="K5" s="16" t="inlineStr">
        <is>
          <t>Partial refund $ (blank = full)</t>
        </is>
      </c>
      <c r="L5" s="16" t="inlineStr">
        <is>
          <t>Etsy fees credited back?</t>
        </is>
      </c>
      <c r="M5" s="16" t="inlineStr">
        <is>
          <t>Order total (buyer paid)</t>
        </is>
      </c>
      <c r="N5" s="16" t="inlineStr">
        <is>
          <t>Listing fee</t>
        </is>
      </c>
      <c r="O5" s="16" t="inlineStr">
        <is>
          <t>Transaction fee</t>
        </is>
      </c>
      <c r="P5" s="16" t="inlineStr">
        <is>
          <t>Payment processing</t>
        </is>
      </c>
      <c r="Q5" s="16" t="inlineStr">
        <is>
          <t>Offsite Ads fee</t>
        </is>
      </c>
      <c r="R5" s="16" t="inlineStr">
        <is>
          <t>Fee credit on refund</t>
        </is>
      </c>
      <c r="S5" s="16" t="inlineStr">
        <is>
          <t>Total fees</t>
        </is>
      </c>
      <c r="T5" s="16" t="inlineStr">
        <is>
          <t>Refund amount</t>
        </is>
      </c>
      <c r="U5" s="16" t="inlineStr">
        <is>
          <t>Product cost</t>
        </is>
      </c>
      <c r="V5" s="16" t="inlineStr">
        <is>
          <t>Net profit</t>
        </is>
      </c>
      <c r="W5" s="16" t="inlineStr">
        <is>
          <t>Margin</t>
        </is>
      </c>
      <c r="X5" s="16" t="inlineStr">
        <is>
          <t>Month</t>
        </is>
      </c>
    </row>
    <row r="6">
      <c r="A6" s="18" t="n">
        <v>46235</v>
      </c>
      <c r="B6" s="13" t="inlineStr">
        <is>
          <t>Etsy</t>
        </is>
      </c>
      <c r="C6" s="13" t="inlineStr">
        <is>
          <t>Ceramic Mug</t>
        </is>
      </c>
      <c r="D6" s="26" t="n">
        <v>2</v>
      </c>
      <c r="E6" s="12" t="n">
        <v>32</v>
      </c>
      <c r="F6" s="12" t="n">
        <v>6.95</v>
      </c>
      <c r="G6" s="12" t="n">
        <v>7.2</v>
      </c>
      <c r="H6" s="12" t="n"/>
      <c r="I6" s="13" t="inlineStr">
        <is>
          <t>N</t>
        </is>
      </c>
      <c r="J6" s="13" t="inlineStr">
        <is>
          <t>N</t>
        </is>
      </c>
      <c r="K6" s="12" t="n"/>
      <c r="L6" s="13" t="n"/>
      <c r="M6" s="15">
        <f>IF($A6="","",IF($D6="",1,$D6)*$E6+$F6-$H6)</f>
        <v/>
      </c>
      <c r="N6" s="15">
        <f>IF($A6="","",IF($B6="Etsy",IF($D6="",1,$D6)*Settings!$C$19,0))</f>
        <v/>
      </c>
      <c r="O6" s="15">
        <f>IF($A6="","",IF($B6="Etsy",Settings!$C$20*($M6+IF(Settings!$C$54="Y",0,$H6)),0))</f>
        <v/>
      </c>
      <c r="P6" s="15">
        <f>IF($A6="","",IF($B6="Etsy",Settings!$C$21*$M6*(1+Settings!$C$55)+Settings!$C$22,IF($B6="Shopify",Settings!$C$14*$M6+Settings!$C$15,0)))</f>
        <v/>
      </c>
      <c r="Q6" s="15">
        <f>IF($A6="","",IF(AND($B6="Etsy",$I6="Y"),MIN(Settings!$C$12*($M6+IF(Settings!$C$54="Y",0,$H6)),Settings!$C$25),0))</f>
        <v/>
      </c>
      <c r="R6" s="15">
        <f>IF($A6="","",IF(AND($B6="Etsy",$J6="Y",$L6="Y",$M6&gt;0),($O6+Settings!$C$21*$M6*(1+Settings!$C$55)+IF(Settings!$C$59="Y",$Q6,0))*$T6/$M6+IF(AND(Settings!$C$58="Y",$T6&gt;=$M6),Settings!$C$22,0),0))</f>
        <v/>
      </c>
      <c r="S6" s="15">
        <f>IF($A6="","",$N6+$O6+$P6+$Q6-$R6)</f>
        <v/>
      </c>
      <c r="T6" s="15">
        <f>IF($A6="","",IF($J6="Y",IF($K6="",$M6,MIN($K6,$M6)),0))</f>
        <v/>
      </c>
      <c r="U6" s="15">
        <f>IF($A6="","",IF($D6="",1,$D6)*IFERROR(INDEX(Products!$F$5:$F$54,MATCH($C6,Products!$A$5:$A$54,0)),0))</f>
        <v/>
      </c>
      <c r="V6" s="27">
        <f>IF($A6="","",$M6-$T6-$S6-$U6-$G6)</f>
        <v/>
      </c>
      <c r="W6" s="31">
        <f>IF($A6="","",IF($M6-$T6&gt;0,$V6/($M6-$T6),""))</f>
        <v/>
      </c>
      <c r="X6" s="35">
        <f>IF($A6="","",DATE(YEAR($A6),MONTH($A6),1))</f>
        <v/>
      </c>
    </row>
    <row r="7">
      <c r="A7" s="18" t="n">
        <v>46237</v>
      </c>
      <c r="B7" s="13" t="inlineStr">
        <is>
          <t>Etsy</t>
        </is>
      </c>
      <c r="C7" s="13" t="inlineStr">
        <is>
          <t>Beaded Bracelet</t>
        </is>
      </c>
      <c r="D7" s="26" t="n">
        <v>1</v>
      </c>
      <c r="E7" s="12" t="n">
        <v>18</v>
      </c>
      <c r="F7" s="12" t="n">
        <v>0</v>
      </c>
      <c r="G7" s="12" t="n">
        <v>4</v>
      </c>
      <c r="H7" s="12" t="n"/>
      <c r="I7" s="13" t="inlineStr">
        <is>
          <t>N</t>
        </is>
      </c>
      <c r="J7" s="13" t="inlineStr">
        <is>
          <t>N</t>
        </is>
      </c>
      <c r="K7" s="12" t="n"/>
      <c r="L7" s="13" t="n"/>
      <c r="M7" s="15">
        <f>IF($A7="","",IF($D7="",1,$D7)*$E7+$F7-$H7)</f>
        <v/>
      </c>
      <c r="N7" s="15">
        <f>IF($A7="","",IF($B7="Etsy",IF($D7="",1,$D7)*Settings!$C$19,0))</f>
        <v/>
      </c>
      <c r="O7" s="15">
        <f>IF($A7="","",IF($B7="Etsy",Settings!$C$20*($M7+IF(Settings!$C$54="Y",0,$H7)),0))</f>
        <v/>
      </c>
      <c r="P7" s="15">
        <f>IF($A7="","",IF($B7="Etsy",Settings!$C$21*$M7*(1+Settings!$C$55)+Settings!$C$22,IF($B7="Shopify",Settings!$C$14*$M7+Settings!$C$15,0)))</f>
        <v/>
      </c>
      <c r="Q7" s="15">
        <f>IF($A7="","",IF(AND($B7="Etsy",$I7="Y"),MIN(Settings!$C$12*($M7+IF(Settings!$C$54="Y",0,$H7)),Settings!$C$25),0))</f>
        <v/>
      </c>
      <c r="R7" s="15">
        <f>IF($A7="","",IF(AND($B7="Etsy",$J7="Y",$L7="Y",$M7&gt;0),($O7+Settings!$C$21*$M7*(1+Settings!$C$55)+IF(Settings!$C$59="Y",$Q7,0))*$T7/$M7+IF(AND(Settings!$C$58="Y",$T7&gt;=$M7),Settings!$C$22,0),0))</f>
        <v/>
      </c>
      <c r="S7" s="15">
        <f>IF($A7="","",$N7+$O7+$P7+$Q7-$R7)</f>
        <v/>
      </c>
      <c r="T7" s="15">
        <f>IF($A7="","",IF($J7="Y",IF($K7="",$M7,MIN($K7,$M7)),0))</f>
        <v/>
      </c>
      <c r="U7" s="15">
        <f>IF($A7="","",IF($D7="",1,$D7)*IFERROR(INDEX(Products!$F$5:$F$54,MATCH($C7,Products!$A$5:$A$54,0)),0))</f>
        <v/>
      </c>
      <c r="V7" s="27">
        <f>IF($A7="","",$M7-$T7-$S7-$U7-$G7)</f>
        <v/>
      </c>
      <c r="W7" s="31">
        <f>IF($A7="","",IF($M7-$T7&gt;0,$V7/($M7-$T7),""))</f>
        <v/>
      </c>
      <c r="X7" s="35">
        <f>IF($A7="","",DATE(YEAR($A7),MONTH($A7),1))</f>
        <v/>
      </c>
    </row>
    <row r="8">
      <c r="A8" s="18" t="n">
        <v>46239</v>
      </c>
      <c r="B8" s="13" t="inlineStr">
        <is>
          <t>Etsy</t>
        </is>
      </c>
      <c r="C8" s="13" t="inlineStr">
        <is>
          <t>Linen Tote Bag</t>
        </is>
      </c>
      <c r="D8" s="26" t="n">
        <v>1</v>
      </c>
      <c r="E8" s="12" t="n">
        <v>28</v>
      </c>
      <c r="F8" s="12" t="n">
        <v>5.5</v>
      </c>
      <c r="G8" s="12" t="n">
        <v>5</v>
      </c>
      <c r="H8" s="12" t="n"/>
      <c r="I8" s="13" t="inlineStr">
        <is>
          <t>Y</t>
        </is>
      </c>
      <c r="J8" s="13" t="inlineStr">
        <is>
          <t>N</t>
        </is>
      </c>
      <c r="K8" s="12" t="n"/>
      <c r="L8" s="13" t="n"/>
      <c r="M8" s="15">
        <f>IF($A8="","",IF($D8="",1,$D8)*$E8+$F8-$H8)</f>
        <v/>
      </c>
      <c r="N8" s="15">
        <f>IF($A8="","",IF($B8="Etsy",IF($D8="",1,$D8)*Settings!$C$19,0))</f>
        <v/>
      </c>
      <c r="O8" s="15">
        <f>IF($A8="","",IF($B8="Etsy",Settings!$C$20*($M8+IF(Settings!$C$54="Y",0,$H8)),0))</f>
        <v/>
      </c>
      <c r="P8" s="15">
        <f>IF($A8="","",IF($B8="Etsy",Settings!$C$21*$M8*(1+Settings!$C$55)+Settings!$C$22,IF($B8="Shopify",Settings!$C$14*$M8+Settings!$C$15,0)))</f>
        <v/>
      </c>
      <c r="Q8" s="15">
        <f>IF($A8="","",IF(AND($B8="Etsy",$I8="Y"),MIN(Settings!$C$12*($M8+IF(Settings!$C$54="Y",0,$H8)),Settings!$C$25),0))</f>
        <v/>
      </c>
      <c r="R8" s="15">
        <f>IF($A8="","",IF(AND($B8="Etsy",$J8="Y",$L8="Y",$M8&gt;0),($O8+Settings!$C$21*$M8*(1+Settings!$C$55)+IF(Settings!$C$59="Y",$Q8,0))*$T8/$M8+IF(AND(Settings!$C$58="Y",$T8&gt;=$M8),Settings!$C$22,0),0))</f>
        <v/>
      </c>
      <c r="S8" s="15">
        <f>IF($A8="","",$N8+$O8+$P8+$Q8-$R8)</f>
        <v/>
      </c>
      <c r="T8" s="15">
        <f>IF($A8="","",IF($J8="Y",IF($K8="",$M8,MIN($K8,$M8)),0))</f>
        <v/>
      </c>
      <c r="U8" s="15">
        <f>IF($A8="","",IF($D8="",1,$D8)*IFERROR(INDEX(Products!$F$5:$F$54,MATCH($C8,Products!$A$5:$A$54,0)),0))</f>
        <v/>
      </c>
      <c r="V8" s="27">
        <f>IF($A8="","",$M8-$T8-$S8-$U8-$G8)</f>
        <v/>
      </c>
      <c r="W8" s="31">
        <f>IF($A8="","",IF($M8-$T8&gt;0,$V8/($M8-$T8),""))</f>
        <v/>
      </c>
      <c r="X8" s="35">
        <f>IF($A8="","",DATE(YEAR($A8),MONTH($A8),1))</f>
        <v/>
      </c>
    </row>
    <row r="9">
      <c r="A9" s="18" t="n">
        <v>46241</v>
      </c>
      <c r="B9" s="13" t="inlineStr">
        <is>
          <t>Shopify</t>
        </is>
      </c>
      <c r="C9" s="13" t="inlineStr">
        <is>
          <t>Art Print A4</t>
        </is>
      </c>
      <c r="D9" s="26" t="n">
        <v>1</v>
      </c>
      <c r="E9" s="12" t="n">
        <v>15</v>
      </c>
      <c r="F9" s="12" t="n">
        <v>0</v>
      </c>
      <c r="G9" s="12" t="n">
        <v>1.8</v>
      </c>
      <c r="H9" s="12" t="n"/>
      <c r="I9" s="13" t="inlineStr">
        <is>
          <t>N</t>
        </is>
      </c>
      <c r="J9" s="13" t="inlineStr">
        <is>
          <t>N</t>
        </is>
      </c>
      <c r="K9" s="12" t="n"/>
      <c r="L9" s="13" t="n"/>
      <c r="M9" s="15">
        <f>IF($A9="","",IF($D9="",1,$D9)*$E9+$F9-$H9)</f>
        <v/>
      </c>
      <c r="N9" s="15">
        <f>IF($A9="","",IF($B9="Etsy",IF($D9="",1,$D9)*Settings!$C$19,0))</f>
        <v/>
      </c>
      <c r="O9" s="15">
        <f>IF($A9="","",IF($B9="Etsy",Settings!$C$20*($M9+IF(Settings!$C$54="Y",0,$H9)),0))</f>
        <v/>
      </c>
      <c r="P9" s="15">
        <f>IF($A9="","",IF($B9="Etsy",Settings!$C$21*$M9*(1+Settings!$C$55)+Settings!$C$22,IF($B9="Shopify",Settings!$C$14*$M9+Settings!$C$15,0)))</f>
        <v/>
      </c>
      <c r="Q9" s="15">
        <f>IF($A9="","",IF(AND($B9="Etsy",$I9="Y"),MIN(Settings!$C$12*($M9+IF(Settings!$C$54="Y",0,$H9)),Settings!$C$25),0))</f>
        <v/>
      </c>
      <c r="R9" s="15">
        <f>IF($A9="","",IF(AND($B9="Etsy",$J9="Y",$L9="Y",$M9&gt;0),($O9+Settings!$C$21*$M9*(1+Settings!$C$55)+IF(Settings!$C$59="Y",$Q9,0))*$T9/$M9+IF(AND(Settings!$C$58="Y",$T9&gt;=$M9),Settings!$C$22,0),0))</f>
        <v/>
      </c>
      <c r="S9" s="15">
        <f>IF($A9="","",$N9+$O9+$P9+$Q9-$R9)</f>
        <v/>
      </c>
      <c r="T9" s="15">
        <f>IF($A9="","",IF($J9="Y",IF($K9="",$M9,MIN($K9,$M9)),0))</f>
        <v/>
      </c>
      <c r="U9" s="15">
        <f>IF($A9="","",IF($D9="",1,$D9)*IFERROR(INDEX(Products!$F$5:$F$54,MATCH($C9,Products!$A$5:$A$54,0)),0))</f>
        <v/>
      </c>
      <c r="V9" s="27">
        <f>IF($A9="","",$M9-$T9-$S9-$U9-$G9)</f>
        <v/>
      </c>
      <c r="W9" s="31">
        <f>IF($A9="","",IF($M9-$T9&gt;0,$V9/($M9-$T9),""))</f>
        <v/>
      </c>
      <c r="X9" s="35">
        <f>IF($A9="","",DATE(YEAR($A9),MONTH($A9),1))</f>
        <v/>
      </c>
    </row>
    <row r="10">
      <c r="A10" s="18" t="n">
        <v>46243</v>
      </c>
      <c r="B10" s="13" t="inlineStr">
        <is>
          <t>Etsy</t>
        </is>
      </c>
      <c r="C10" s="13" t="inlineStr">
        <is>
          <t>Soy Candle 8oz</t>
        </is>
      </c>
      <c r="D10" s="26" t="n">
        <v>1</v>
      </c>
      <c r="E10" s="12" t="n">
        <v>24</v>
      </c>
      <c r="F10" s="12" t="n">
        <v>6</v>
      </c>
      <c r="G10" s="12" t="n">
        <v>6.5</v>
      </c>
      <c r="H10" s="12" t="n">
        <v>3</v>
      </c>
      <c r="I10" s="13" t="inlineStr">
        <is>
          <t>N</t>
        </is>
      </c>
      <c r="J10" s="13" t="inlineStr">
        <is>
          <t>N</t>
        </is>
      </c>
      <c r="K10" s="12" t="n"/>
      <c r="L10" s="13" t="n"/>
      <c r="M10" s="15">
        <f>IF($A10="","",IF($D10="",1,$D10)*$E10+$F10-$H10)</f>
        <v/>
      </c>
      <c r="N10" s="15">
        <f>IF($A10="","",IF($B10="Etsy",IF($D10="",1,$D10)*Settings!$C$19,0))</f>
        <v/>
      </c>
      <c r="O10" s="15">
        <f>IF($A10="","",IF($B10="Etsy",Settings!$C$20*($M10+IF(Settings!$C$54="Y",0,$H10)),0))</f>
        <v/>
      </c>
      <c r="P10" s="15">
        <f>IF($A10="","",IF($B10="Etsy",Settings!$C$21*$M10*(1+Settings!$C$55)+Settings!$C$22,IF($B10="Shopify",Settings!$C$14*$M10+Settings!$C$15,0)))</f>
        <v/>
      </c>
      <c r="Q10" s="15">
        <f>IF($A10="","",IF(AND($B10="Etsy",$I10="Y"),MIN(Settings!$C$12*($M10+IF(Settings!$C$54="Y",0,$H10)),Settings!$C$25),0))</f>
        <v/>
      </c>
      <c r="R10" s="15">
        <f>IF($A10="","",IF(AND($B10="Etsy",$J10="Y",$L10="Y",$M10&gt;0),($O10+Settings!$C$21*$M10*(1+Settings!$C$55)+IF(Settings!$C$59="Y",$Q10,0))*$T10/$M10+IF(AND(Settings!$C$58="Y",$T10&gt;=$M10),Settings!$C$22,0),0))</f>
        <v/>
      </c>
      <c r="S10" s="15">
        <f>IF($A10="","",$N10+$O10+$P10+$Q10-$R10)</f>
        <v/>
      </c>
      <c r="T10" s="15">
        <f>IF($A10="","",IF($J10="Y",IF($K10="",$M10,MIN($K10,$M10)),0))</f>
        <v/>
      </c>
      <c r="U10" s="15">
        <f>IF($A10="","",IF($D10="",1,$D10)*IFERROR(INDEX(Products!$F$5:$F$54,MATCH($C10,Products!$A$5:$A$54,0)),0))</f>
        <v/>
      </c>
      <c r="V10" s="27">
        <f>IF($A10="","",$M10-$T10-$S10-$U10-$G10)</f>
        <v/>
      </c>
      <c r="W10" s="31">
        <f>IF($A10="","",IF($M10-$T10&gt;0,$V10/($M10-$T10),""))</f>
        <v/>
      </c>
      <c r="X10" s="35">
        <f>IF($A10="","",DATE(YEAR($A10),MONTH($A10),1))</f>
        <v/>
      </c>
    </row>
    <row r="11">
      <c r="A11" s="18" t="n">
        <v>46245</v>
      </c>
      <c r="B11" s="13" t="inlineStr">
        <is>
          <t>Etsy</t>
        </is>
      </c>
      <c r="C11" s="13" t="inlineStr">
        <is>
          <t>Ceramic Mug</t>
        </is>
      </c>
      <c r="D11" s="26" t="n">
        <v>1</v>
      </c>
      <c r="E11" s="12" t="n">
        <v>32</v>
      </c>
      <c r="F11" s="12" t="n">
        <v>6.95</v>
      </c>
      <c r="G11" s="12" t="n">
        <v>7.2</v>
      </c>
      <c r="H11" s="12" t="n"/>
      <c r="I11" s="13" t="inlineStr">
        <is>
          <t>N</t>
        </is>
      </c>
      <c r="J11" s="13" t="inlineStr">
        <is>
          <t>N</t>
        </is>
      </c>
      <c r="K11" s="12" t="n"/>
      <c r="L11" s="13" t="n"/>
      <c r="M11" s="15">
        <f>IF($A11="","",IF($D11="",1,$D11)*$E11+$F11-$H11)</f>
        <v/>
      </c>
      <c r="N11" s="15">
        <f>IF($A11="","",IF($B11="Etsy",IF($D11="",1,$D11)*Settings!$C$19,0))</f>
        <v/>
      </c>
      <c r="O11" s="15">
        <f>IF($A11="","",IF($B11="Etsy",Settings!$C$20*($M11+IF(Settings!$C$54="Y",0,$H11)),0))</f>
        <v/>
      </c>
      <c r="P11" s="15">
        <f>IF($A11="","",IF($B11="Etsy",Settings!$C$21*$M11*(1+Settings!$C$55)+Settings!$C$22,IF($B11="Shopify",Settings!$C$14*$M11+Settings!$C$15,0)))</f>
        <v/>
      </c>
      <c r="Q11" s="15">
        <f>IF($A11="","",IF(AND($B11="Etsy",$I11="Y"),MIN(Settings!$C$12*($M11+IF(Settings!$C$54="Y",0,$H11)),Settings!$C$25),0))</f>
        <v/>
      </c>
      <c r="R11" s="15">
        <f>IF($A11="","",IF(AND($B11="Etsy",$J11="Y",$L11="Y",$M11&gt;0),($O11+Settings!$C$21*$M11*(1+Settings!$C$55)+IF(Settings!$C$59="Y",$Q11,0))*$T11/$M11+IF(AND(Settings!$C$58="Y",$T11&gt;=$M11),Settings!$C$22,0),0))</f>
        <v/>
      </c>
      <c r="S11" s="15">
        <f>IF($A11="","",$N11+$O11+$P11+$Q11-$R11)</f>
        <v/>
      </c>
      <c r="T11" s="15">
        <f>IF($A11="","",IF($J11="Y",IF($K11="",$M11,MIN($K11,$M11)),0))</f>
        <v/>
      </c>
      <c r="U11" s="15">
        <f>IF($A11="","",IF($D11="",1,$D11)*IFERROR(INDEX(Products!$F$5:$F$54,MATCH($C11,Products!$A$5:$A$54,0)),0))</f>
        <v/>
      </c>
      <c r="V11" s="27">
        <f>IF($A11="","",$M11-$T11-$S11-$U11-$G11)</f>
        <v/>
      </c>
      <c r="W11" s="31">
        <f>IF($A11="","",IF($M11-$T11&gt;0,$V11/($M11-$T11),""))</f>
        <v/>
      </c>
      <c r="X11" s="35">
        <f>IF($A11="","",DATE(YEAR($A11),MONTH($A11),1))</f>
        <v/>
      </c>
    </row>
    <row r="12">
      <c r="A12" s="18" t="n">
        <v>46247</v>
      </c>
      <c r="B12" s="13" t="inlineStr">
        <is>
          <t>Etsy</t>
        </is>
      </c>
      <c r="C12" s="13" t="inlineStr">
        <is>
          <t>Beaded Bracelet</t>
        </is>
      </c>
      <c r="D12" s="26" t="n">
        <v>1</v>
      </c>
      <c r="E12" s="12" t="n">
        <v>18</v>
      </c>
      <c r="F12" s="12" t="n">
        <v>0</v>
      </c>
      <c r="G12" s="12" t="n">
        <v>4</v>
      </c>
      <c r="H12" s="12" t="n"/>
      <c r="I12" s="13" t="inlineStr">
        <is>
          <t>N</t>
        </is>
      </c>
      <c r="J12" s="13" t="inlineStr">
        <is>
          <t>N</t>
        </is>
      </c>
      <c r="K12" s="12" t="n"/>
      <c r="L12" s="13" t="n"/>
      <c r="M12" s="15">
        <f>IF($A12="","",IF($D12="",1,$D12)*$E12+$F12-$H12)</f>
        <v/>
      </c>
      <c r="N12" s="15">
        <f>IF($A12="","",IF($B12="Etsy",IF($D12="",1,$D12)*Settings!$C$19,0))</f>
        <v/>
      </c>
      <c r="O12" s="15">
        <f>IF($A12="","",IF($B12="Etsy",Settings!$C$20*($M12+IF(Settings!$C$54="Y",0,$H12)),0))</f>
        <v/>
      </c>
      <c r="P12" s="15">
        <f>IF($A12="","",IF($B12="Etsy",Settings!$C$21*$M12*(1+Settings!$C$55)+Settings!$C$22,IF($B12="Shopify",Settings!$C$14*$M12+Settings!$C$15,0)))</f>
        <v/>
      </c>
      <c r="Q12" s="15">
        <f>IF($A12="","",IF(AND($B12="Etsy",$I12="Y"),MIN(Settings!$C$12*($M12+IF(Settings!$C$54="Y",0,$H12)),Settings!$C$25),0))</f>
        <v/>
      </c>
      <c r="R12" s="15">
        <f>IF($A12="","",IF(AND($B12="Etsy",$J12="Y",$L12="Y",$M12&gt;0),($O12+Settings!$C$21*$M12*(1+Settings!$C$55)+IF(Settings!$C$59="Y",$Q12,0))*$T12/$M12+IF(AND(Settings!$C$58="Y",$T12&gt;=$M12),Settings!$C$22,0),0))</f>
        <v/>
      </c>
      <c r="S12" s="15">
        <f>IF($A12="","",$N12+$O12+$P12+$Q12-$R12)</f>
        <v/>
      </c>
      <c r="T12" s="15">
        <f>IF($A12="","",IF($J12="Y",IF($K12="",$M12,MIN($K12,$M12)),0))</f>
        <v/>
      </c>
      <c r="U12" s="15">
        <f>IF($A12="","",IF($D12="",1,$D12)*IFERROR(INDEX(Products!$F$5:$F$54,MATCH($C12,Products!$A$5:$A$54,0)),0))</f>
        <v/>
      </c>
      <c r="V12" s="27">
        <f>IF($A12="","",$M12-$T12-$S12-$U12-$G12)</f>
        <v/>
      </c>
      <c r="W12" s="31">
        <f>IF($A12="","",IF($M12-$T12&gt;0,$V12/($M12-$T12),""))</f>
        <v/>
      </c>
      <c r="X12" s="35">
        <f>IF($A12="","",DATE(YEAR($A12),MONTH($A12),1))</f>
        <v/>
      </c>
    </row>
    <row r="13">
      <c r="A13" s="18" t="n">
        <v>46249</v>
      </c>
      <c r="B13" s="13" t="inlineStr">
        <is>
          <t>Shopify</t>
        </is>
      </c>
      <c r="C13" s="13" t="inlineStr">
        <is>
          <t>Linen Tote Bag</t>
        </is>
      </c>
      <c r="D13" s="26" t="n">
        <v>2</v>
      </c>
      <c r="E13" s="12" t="n">
        <v>28</v>
      </c>
      <c r="F13" s="12" t="n">
        <v>5.5</v>
      </c>
      <c r="G13" s="12" t="n">
        <v>5</v>
      </c>
      <c r="H13" s="12" t="n"/>
      <c r="I13" s="13" t="inlineStr">
        <is>
          <t>N</t>
        </is>
      </c>
      <c r="J13" s="13" t="inlineStr">
        <is>
          <t>N</t>
        </is>
      </c>
      <c r="K13" s="12" t="n"/>
      <c r="L13" s="13" t="n"/>
      <c r="M13" s="15">
        <f>IF($A13="","",IF($D13="",1,$D13)*$E13+$F13-$H13)</f>
        <v/>
      </c>
      <c r="N13" s="15">
        <f>IF($A13="","",IF($B13="Etsy",IF($D13="",1,$D13)*Settings!$C$19,0))</f>
        <v/>
      </c>
      <c r="O13" s="15">
        <f>IF($A13="","",IF($B13="Etsy",Settings!$C$20*($M13+IF(Settings!$C$54="Y",0,$H13)),0))</f>
        <v/>
      </c>
      <c r="P13" s="15">
        <f>IF($A13="","",IF($B13="Etsy",Settings!$C$21*$M13*(1+Settings!$C$55)+Settings!$C$22,IF($B13="Shopify",Settings!$C$14*$M13+Settings!$C$15,0)))</f>
        <v/>
      </c>
      <c r="Q13" s="15">
        <f>IF($A13="","",IF(AND($B13="Etsy",$I13="Y"),MIN(Settings!$C$12*($M13+IF(Settings!$C$54="Y",0,$H13)),Settings!$C$25),0))</f>
        <v/>
      </c>
      <c r="R13" s="15">
        <f>IF($A13="","",IF(AND($B13="Etsy",$J13="Y",$L13="Y",$M13&gt;0),($O13+Settings!$C$21*$M13*(1+Settings!$C$55)+IF(Settings!$C$59="Y",$Q13,0))*$T13/$M13+IF(AND(Settings!$C$58="Y",$T13&gt;=$M13),Settings!$C$22,0),0))</f>
        <v/>
      </c>
      <c r="S13" s="15">
        <f>IF($A13="","",$N13+$O13+$P13+$Q13-$R13)</f>
        <v/>
      </c>
      <c r="T13" s="15">
        <f>IF($A13="","",IF($J13="Y",IF($K13="",$M13,MIN($K13,$M13)),0))</f>
        <v/>
      </c>
      <c r="U13" s="15">
        <f>IF($A13="","",IF($D13="",1,$D13)*IFERROR(INDEX(Products!$F$5:$F$54,MATCH($C13,Products!$A$5:$A$54,0)),0))</f>
        <v/>
      </c>
      <c r="V13" s="27">
        <f>IF($A13="","",$M13-$T13-$S13-$U13-$G13)</f>
        <v/>
      </c>
      <c r="W13" s="31">
        <f>IF($A13="","",IF($M13-$T13&gt;0,$V13/($M13-$T13),""))</f>
        <v/>
      </c>
      <c r="X13" s="35">
        <f>IF($A13="","",DATE(YEAR($A13),MONTH($A13),1))</f>
        <v/>
      </c>
    </row>
    <row r="14">
      <c r="A14" s="18" t="n">
        <v>46251</v>
      </c>
      <c r="B14" s="13" t="inlineStr">
        <is>
          <t>Etsy</t>
        </is>
      </c>
      <c r="C14" s="13" t="inlineStr">
        <is>
          <t>Art Print A4</t>
        </is>
      </c>
      <c r="D14" s="26" t="n">
        <v>1</v>
      </c>
      <c r="E14" s="12" t="n">
        <v>15</v>
      </c>
      <c r="F14" s="12" t="n">
        <v>0</v>
      </c>
      <c r="G14" s="12" t="n">
        <v>1.8</v>
      </c>
      <c r="H14" s="12" t="n"/>
      <c r="I14" s="13" t="inlineStr">
        <is>
          <t>Y</t>
        </is>
      </c>
      <c r="J14" s="13" t="inlineStr">
        <is>
          <t>N</t>
        </is>
      </c>
      <c r="K14" s="12" t="n"/>
      <c r="L14" s="13" t="n"/>
      <c r="M14" s="15">
        <f>IF($A14="","",IF($D14="",1,$D14)*$E14+$F14-$H14)</f>
        <v/>
      </c>
      <c r="N14" s="15">
        <f>IF($A14="","",IF($B14="Etsy",IF($D14="",1,$D14)*Settings!$C$19,0))</f>
        <v/>
      </c>
      <c r="O14" s="15">
        <f>IF($A14="","",IF($B14="Etsy",Settings!$C$20*($M14+IF(Settings!$C$54="Y",0,$H14)),0))</f>
        <v/>
      </c>
      <c r="P14" s="15">
        <f>IF($A14="","",IF($B14="Etsy",Settings!$C$21*$M14*(1+Settings!$C$55)+Settings!$C$22,IF($B14="Shopify",Settings!$C$14*$M14+Settings!$C$15,0)))</f>
        <v/>
      </c>
      <c r="Q14" s="15">
        <f>IF($A14="","",IF(AND($B14="Etsy",$I14="Y"),MIN(Settings!$C$12*($M14+IF(Settings!$C$54="Y",0,$H14)),Settings!$C$25),0))</f>
        <v/>
      </c>
      <c r="R14" s="15">
        <f>IF($A14="","",IF(AND($B14="Etsy",$J14="Y",$L14="Y",$M14&gt;0),($O14+Settings!$C$21*$M14*(1+Settings!$C$55)+IF(Settings!$C$59="Y",$Q14,0))*$T14/$M14+IF(AND(Settings!$C$58="Y",$T14&gt;=$M14),Settings!$C$22,0),0))</f>
        <v/>
      </c>
      <c r="S14" s="15">
        <f>IF($A14="","",$N14+$O14+$P14+$Q14-$R14)</f>
        <v/>
      </c>
      <c r="T14" s="15">
        <f>IF($A14="","",IF($J14="Y",IF($K14="",$M14,MIN($K14,$M14)),0))</f>
        <v/>
      </c>
      <c r="U14" s="15">
        <f>IF($A14="","",IF($D14="",1,$D14)*IFERROR(INDEX(Products!$F$5:$F$54,MATCH($C14,Products!$A$5:$A$54,0)),0))</f>
        <v/>
      </c>
      <c r="V14" s="27">
        <f>IF($A14="","",$M14-$T14-$S14-$U14-$G14)</f>
        <v/>
      </c>
      <c r="W14" s="31">
        <f>IF($A14="","",IF($M14-$T14&gt;0,$V14/($M14-$T14),""))</f>
        <v/>
      </c>
      <c r="X14" s="35">
        <f>IF($A14="","",DATE(YEAR($A14),MONTH($A14),1))</f>
        <v/>
      </c>
    </row>
    <row r="15">
      <c r="A15" s="18" t="n">
        <v>46253</v>
      </c>
      <c r="B15" s="13" t="inlineStr">
        <is>
          <t>Etsy</t>
        </is>
      </c>
      <c r="C15" s="13" t="inlineStr">
        <is>
          <t>Soy Candle 8oz</t>
        </is>
      </c>
      <c r="D15" s="26" t="n">
        <v>1</v>
      </c>
      <c r="E15" s="12" t="n">
        <v>24</v>
      </c>
      <c r="F15" s="12" t="n">
        <v>6</v>
      </c>
      <c r="G15" s="12" t="n">
        <v>6.5</v>
      </c>
      <c r="H15" s="12" t="n"/>
      <c r="I15" s="13" t="inlineStr">
        <is>
          <t>N</t>
        </is>
      </c>
      <c r="J15" s="13" t="inlineStr">
        <is>
          <t>N</t>
        </is>
      </c>
      <c r="K15" s="12" t="n"/>
      <c r="L15" s="13" t="n"/>
      <c r="M15" s="15">
        <f>IF($A15="","",IF($D15="",1,$D15)*$E15+$F15-$H15)</f>
        <v/>
      </c>
      <c r="N15" s="15">
        <f>IF($A15="","",IF($B15="Etsy",IF($D15="",1,$D15)*Settings!$C$19,0))</f>
        <v/>
      </c>
      <c r="O15" s="15">
        <f>IF($A15="","",IF($B15="Etsy",Settings!$C$20*($M15+IF(Settings!$C$54="Y",0,$H15)),0))</f>
        <v/>
      </c>
      <c r="P15" s="15">
        <f>IF($A15="","",IF($B15="Etsy",Settings!$C$21*$M15*(1+Settings!$C$55)+Settings!$C$22,IF($B15="Shopify",Settings!$C$14*$M15+Settings!$C$15,0)))</f>
        <v/>
      </c>
      <c r="Q15" s="15">
        <f>IF($A15="","",IF(AND($B15="Etsy",$I15="Y"),MIN(Settings!$C$12*($M15+IF(Settings!$C$54="Y",0,$H15)),Settings!$C$25),0))</f>
        <v/>
      </c>
      <c r="R15" s="15">
        <f>IF($A15="","",IF(AND($B15="Etsy",$J15="Y",$L15="Y",$M15&gt;0),($O15+Settings!$C$21*$M15*(1+Settings!$C$55)+IF(Settings!$C$59="Y",$Q15,0))*$T15/$M15+IF(AND(Settings!$C$58="Y",$T15&gt;=$M15),Settings!$C$22,0),0))</f>
        <v/>
      </c>
      <c r="S15" s="15">
        <f>IF($A15="","",$N15+$O15+$P15+$Q15-$R15)</f>
        <v/>
      </c>
      <c r="T15" s="15">
        <f>IF($A15="","",IF($J15="Y",IF($K15="",$M15,MIN($K15,$M15)),0))</f>
        <v/>
      </c>
      <c r="U15" s="15">
        <f>IF($A15="","",IF($D15="",1,$D15)*IFERROR(INDEX(Products!$F$5:$F$54,MATCH($C15,Products!$A$5:$A$54,0)),0))</f>
        <v/>
      </c>
      <c r="V15" s="27">
        <f>IF($A15="","",$M15-$T15-$S15-$U15-$G15)</f>
        <v/>
      </c>
      <c r="W15" s="31">
        <f>IF($A15="","",IF($M15-$T15&gt;0,$V15/($M15-$T15),""))</f>
        <v/>
      </c>
      <c r="X15" s="35">
        <f>IF($A15="","",DATE(YEAR($A15),MONTH($A15),1))</f>
        <v/>
      </c>
    </row>
    <row r="16">
      <c r="A16" s="18" t="n">
        <v>46266</v>
      </c>
      <c r="B16" s="13" t="inlineStr">
        <is>
          <t>Etsy</t>
        </is>
      </c>
      <c r="C16" s="13" t="inlineStr">
        <is>
          <t>Ceramic Mug</t>
        </is>
      </c>
      <c r="D16" s="26" t="n">
        <v>1</v>
      </c>
      <c r="E16" s="12" t="n">
        <v>32</v>
      </c>
      <c r="F16" s="12" t="n">
        <v>6.95</v>
      </c>
      <c r="G16" s="12" t="n">
        <v>7.2</v>
      </c>
      <c r="H16" s="12" t="n"/>
      <c r="I16" s="13" t="inlineStr">
        <is>
          <t>N</t>
        </is>
      </c>
      <c r="J16" s="13" t="inlineStr">
        <is>
          <t>N</t>
        </is>
      </c>
      <c r="K16" s="12" t="n"/>
      <c r="L16" s="13" t="n"/>
      <c r="M16" s="15">
        <f>IF($A16="","",IF($D16="",1,$D16)*$E16+$F16-$H16)</f>
        <v/>
      </c>
      <c r="N16" s="15">
        <f>IF($A16="","",IF($B16="Etsy",IF($D16="",1,$D16)*Settings!$C$19,0))</f>
        <v/>
      </c>
      <c r="O16" s="15">
        <f>IF($A16="","",IF($B16="Etsy",Settings!$C$20*($M16+IF(Settings!$C$54="Y",0,$H16)),0))</f>
        <v/>
      </c>
      <c r="P16" s="15">
        <f>IF($A16="","",IF($B16="Etsy",Settings!$C$21*$M16*(1+Settings!$C$55)+Settings!$C$22,IF($B16="Shopify",Settings!$C$14*$M16+Settings!$C$15,0)))</f>
        <v/>
      </c>
      <c r="Q16" s="15">
        <f>IF($A16="","",IF(AND($B16="Etsy",$I16="Y"),MIN(Settings!$C$12*($M16+IF(Settings!$C$54="Y",0,$H16)),Settings!$C$25),0))</f>
        <v/>
      </c>
      <c r="R16" s="15">
        <f>IF($A16="","",IF(AND($B16="Etsy",$J16="Y",$L16="Y",$M16&gt;0),($O16+Settings!$C$21*$M16*(1+Settings!$C$55)+IF(Settings!$C$59="Y",$Q16,0))*$T16/$M16+IF(AND(Settings!$C$58="Y",$T16&gt;=$M16),Settings!$C$22,0),0))</f>
        <v/>
      </c>
      <c r="S16" s="15">
        <f>IF($A16="","",$N16+$O16+$P16+$Q16-$R16)</f>
        <v/>
      </c>
      <c r="T16" s="15">
        <f>IF($A16="","",IF($J16="Y",IF($K16="",$M16,MIN($K16,$M16)),0))</f>
        <v/>
      </c>
      <c r="U16" s="15">
        <f>IF($A16="","",IF($D16="",1,$D16)*IFERROR(INDEX(Products!$F$5:$F$54,MATCH($C16,Products!$A$5:$A$54,0)),0))</f>
        <v/>
      </c>
      <c r="V16" s="27">
        <f>IF($A16="","",$M16-$T16-$S16-$U16-$G16)</f>
        <v/>
      </c>
      <c r="W16" s="31">
        <f>IF($A16="","",IF($M16-$T16&gt;0,$V16/($M16-$T16),""))</f>
        <v/>
      </c>
      <c r="X16" s="35">
        <f>IF($A16="","",DATE(YEAR($A16),MONTH($A16),1))</f>
        <v/>
      </c>
    </row>
    <row r="17">
      <c r="A17" s="18" t="n">
        <v>46268</v>
      </c>
      <c r="B17" s="13" t="inlineStr">
        <is>
          <t>Shopify</t>
        </is>
      </c>
      <c r="C17" s="13" t="inlineStr">
        <is>
          <t>Beaded Bracelet</t>
        </is>
      </c>
      <c r="D17" s="26" t="n">
        <v>1</v>
      </c>
      <c r="E17" s="12" t="n">
        <v>18</v>
      </c>
      <c r="F17" s="12" t="n">
        <v>0</v>
      </c>
      <c r="G17" s="12" t="n">
        <v>4</v>
      </c>
      <c r="H17" s="12" t="n"/>
      <c r="I17" s="13" t="inlineStr">
        <is>
          <t>N</t>
        </is>
      </c>
      <c r="J17" s="13" t="inlineStr">
        <is>
          <t>Y</t>
        </is>
      </c>
      <c r="K17" s="12" t="n"/>
      <c r="L17" s="13" t="inlineStr">
        <is>
          <t>Y</t>
        </is>
      </c>
      <c r="M17" s="15">
        <f>IF($A17="","",IF($D17="",1,$D17)*$E17+$F17-$H17)</f>
        <v/>
      </c>
      <c r="N17" s="15">
        <f>IF($A17="","",IF($B17="Etsy",IF($D17="",1,$D17)*Settings!$C$19,0))</f>
        <v/>
      </c>
      <c r="O17" s="15">
        <f>IF($A17="","",IF($B17="Etsy",Settings!$C$20*($M17+IF(Settings!$C$54="Y",0,$H17)),0))</f>
        <v/>
      </c>
      <c r="P17" s="15">
        <f>IF($A17="","",IF($B17="Etsy",Settings!$C$21*$M17*(1+Settings!$C$55)+Settings!$C$22,IF($B17="Shopify",Settings!$C$14*$M17+Settings!$C$15,0)))</f>
        <v/>
      </c>
      <c r="Q17" s="15">
        <f>IF($A17="","",IF(AND($B17="Etsy",$I17="Y"),MIN(Settings!$C$12*($M17+IF(Settings!$C$54="Y",0,$H17)),Settings!$C$25),0))</f>
        <v/>
      </c>
      <c r="R17" s="15">
        <f>IF($A17="","",IF(AND($B17="Etsy",$J17="Y",$L17="Y",$M17&gt;0),($O17+Settings!$C$21*$M17*(1+Settings!$C$55)+IF(Settings!$C$59="Y",$Q17,0))*$T17/$M17+IF(AND(Settings!$C$58="Y",$T17&gt;=$M17),Settings!$C$22,0),0))</f>
        <v/>
      </c>
      <c r="S17" s="15">
        <f>IF($A17="","",$N17+$O17+$P17+$Q17-$R17)</f>
        <v/>
      </c>
      <c r="T17" s="15">
        <f>IF($A17="","",IF($J17="Y",IF($K17="",$M17,MIN($K17,$M17)),0))</f>
        <v/>
      </c>
      <c r="U17" s="15">
        <f>IF($A17="","",IF($D17="",1,$D17)*IFERROR(INDEX(Products!$F$5:$F$54,MATCH($C17,Products!$A$5:$A$54,0)),0))</f>
        <v/>
      </c>
      <c r="V17" s="27">
        <f>IF($A17="","",$M17-$T17-$S17-$U17-$G17)</f>
        <v/>
      </c>
      <c r="W17" s="31">
        <f>IF($A17="","",IF($M17-$T17&gt;0,$V17/($M17-$T17),""))</f>
        <v/>
      </c>
      <c r="X17" s="35">
        <f>IF($A17="","",DATE(YEAR($A17),MONTH($A17),1))</f>
        <v/>
      </c>
    </row>
    <row r="18">
      <c r="A18" s="18" t="n">
        <v>46270</v>
      </c>
      <c r="B18" s="13" t="inlineStr">
        <is>
          <t>Etsy</t>
        </is>
      </c>
      <c r="C18" s="13" t="inlineStr">
        <is>
          <t>Linen Tote Bag</t>
        </is>
      </c>
      <c r="D18" s="26" t="n">
        <v>1</v>
      </c>
      <c r="E18" s="12" t="n">
        <v>28</v>
      </c>
      <c r="F18" s="12" t="n">
        <v>5.5</v>
      </c>
      <c r="G18" s="12" t="n">
        <v>5</v>
      </c>
      <c r="H18" s="12" t="n"/>
      <c r="I18" s="13" t="inlineStr">
        <is>
          <t>N</t>
        </is>
      </c>
      <c r="J18" s="13" t="inlineStr">
        <is>
          <t>N</t>
        </is>
      </c>
      <c r="K18" s="12" t="n"/>
      <c r="L18" s="13" t="n"/>
      <c r="M18" s="15">
        <f>IF($A18="","",IF($D18="",1,$D18)*$E18+$F18-$H18)</f>
        <v/>
      </c>
      <c r="N18" s="15">
        <f>IF($A18="","",IF($B18="Etsy",IF($D18="",1,$D18)*Settings!$C$19,0))</f>
        <v/>
      </c>
      <c r="O18" s="15">
        <f>IF($A18="","",IF($B18="Etsy",Settings!$C$20*($M18+IF(Settings!$C$54="Y",0,$H18)),0))</f>
        <v/>
      </c>
      <c r="P18" s="15">
        <f>IF($A18="","",IF($B18="Etsy",Settings!$C$21*$M18*(1+Settings!$C$55)+Settings!$C$22,IF($B18="Shopify",Settings!$C$14*$M18+Settings!$C$15,0)))</f>
        <v/>
      </c>
      <c r="Q18" s="15">
        <f>IF($A18="","",IF(AND($B18="Etsy",$I18="Y"),MIN(Settings!$C$12*($M18+IF(Settings!$C$54="Y",0,$H18)),Settings!$C$25),0))</f>
        <v/>
      </c>
      <c r="R18" s="15">
        <f>IF($A18="","",IF(AND($B18="Etsy",$J18="Y",$L18="Y",$M18&gt;0),($O18+Settings!$C$21*$M18*(1+Settings!$C$55)+IF(Settings!$C$59="Y",$Q18,0))*$T18/$M18+IF(AND(Settings!$C$58="Y",$T18&gt;=$M18),Settings!$C$22,0),0))</f>
        <v/>
      </c>
      <c r="S18" s="15">
        <f>IF($A18="","",$N18+$O18+$P18+$Q18-$R18)</f>
        <v/>
      </c>
      <c r="T18" s="15">
        <f>IF($A18="","",IF($J18="Y",IF($K18="",$M18,MIN($K18,$M18)),0))</f>
        <v/>
      </c>
      <c r="U18" s="15">
        <f>IF($A18="","",IF($D18="",1,$D18)*IFERROR(INDEX(Products!$F$5:$F$54,MATCH($C18,Products!$A$5:$A$54,0)),0))</f>
        <v/>
      </c>
      <c r="V18" s="27">
        <f>IF($A18="","",$M18-$T18-$S18-$U18-$G18)</f>
        <v/>
      </c>
      <c r="W18" s="31">
        <f>IF($A18="","",IF($M18-$T18&gt;0,$V18/($M18-$T18),""))</f>
        <v/>
      </c>
      <c r="X18" s="35">
        <f>IF($A18="","",DATE(YEAR($A18),MONTH($A18),1))</f>
        <v/>
      </c>
    </row>
    <row r="19">
      <c r="A19" s="18" t="n">
        <v>46272</v>
      </c>
      <c r="B19" s="13" t="inlineStr">
        <is>
          <t>Etsy</t>
        </is>
      </c>
      <c r="C19" s="13" t="inlineStr">
        <is>
          <t>Art Print A4</t>
        </is>
      </c>
      <c r="D19" s="26" t="n">
        <v>1</v>
      </c>
      <c r="E19" s="12" t="n">
        <v>15</v>
      </c>
      <c r="F19" s="12" t="n">
        <v>0</v>
      </c>
      <c r="G19" s="12" t="n">
        <v>1.8</v>
      </c>
      <c r="H19" s="12" t="n">
        <v>3</v>
      </c>
      <c r="I19" s="13" t="inlineStr">
        <is>
          <t>N</t>
        </is>
      </c>
      <c r="J19" s="13" t="inlineStr">
        <is>
          <t>N</t>
        </is>
      </c>
      <c r="K19" s="12" t="n"/>
      <c r="L19" s="13" t="n"/>
      <c r="M19" s="15">
        <f>IF($A19="","",IF($D19="",1,$D19)*$E19+$F19-$H19)</f>
        <v/>
      </c>
      <c r="N19" s="15">
        <f>IF($A19="","",IF($B19="Etsy",IF($D19="",1,$D19)*Settings!$C$19,0))</f>
        <v/>
      </c>
      <c r="O19" s="15">
        <f>IF($A19="","",IF($B19="Etsy",Settings!$C$20*($M19+IF(Settings!$C$54="Y",0,$H19)),0))</f>
        <v/>
      </c>
      <c r="P19" s="15">
        <f>IF($A19="","",IF($B19="Etsy",Settings!$C$21*$M19*(1+Settings!$C$55)+Settings!$C$22,IF($B19="Shopify",Settings!$C$14*$M19+Settings!$C$15,0)))</f>
        <v/>
      </c>
      <c r="Q19" s="15">
        <f>IF($A19="","",IF(AND($B19="Etsy",$I19="Y"),MIN(Settings!$C$12*($M19+IF(Settings!$C$54="Y",0,$H19)),Settings!$C$25),0))</f>
        <v/>
      </c>
      <c r="R19" s="15">
        <f>IF($A19="","",IF(AND($B19="Etsy",$J19="Y",$L19="Y",$M19&gt;0),($O19+Settings!$C$21*$M19*(1+Settings!$C$55)+IF(Settings!$C$59="Y",$Q19,0))*$T19/$M19+IF(AND(Settings!$C$58="Y",$T19&gt;=$M19),Settings!$C$22,0),0))</f>
        <v/>
      </c>
      <c r="S19" s="15">
        <f>IF($A19="","",$N19+$O19+$P19+$Q19-$R19)</f>
        <v/>
      </c>
      <c r="T19" s="15">
        <f>IF($A19="","",IF($J19="Y",IF($K19="",$M19,MIN($K19,$M19)),0))</f>
        <v/>
      </c>
      <c r="U19" s="15">
        <f>IF($A19="","",IF($D19="",1,$D19)*IFERROR(INDEX(Products!$F$5:$F$54,MATCH($C19,Products!$A$5:$A$54,0)),0))</f>
        <v/>
      </c>
      <c r="V19" s="27">
        <f>IF($A19="","",$M19-$T19-$S19-$U19-$G19)</f>
        <v/>
      </c>
      <c r="W19" s="31">
        <f>IF($A19="","",IF($M19-$T19&gt;0,$V19/($M19-$T19),""))</f>
        <v/>
      </c>
      <c r="X19" s="35">
        <f>IF($A19="","",DATE(YEAR($A19),MONTH($A19),1))</f>
        <v/>
      </c>
    </row>
    <row r="20">
      <c r="A20" s="18" t="n">
        <v>46274</v>
      </c>
      <c r="B20" s="13" t="inlineStr">
        <is>
          <t>Etsy</t>
        </is>
      </c>
      <c r="C20" s="13" t="inlineStr">
        <is>
          <t>Soy Candle 8oz</t>
        </is>
      </c>
      <c r="D20" s="26" t="n">
        <v>2</v>
      </c>
      <c r="E20" s="12" t="n">
        <v>24</v>
      </c>
      <c r="F20" s="12" t="n">
        <v>6</v>
      </c>
      <c r="G20" s="12" t="n">
        <v>6.5</v>
      </c>
      <c r="H20" s="12" t="n"/>
      <c r="I20" s="13" t="inlineStr">
        <is>
          <t>Y</t>
        </is>
      </c>
      <c r="J20" s="13" t="inlineStr">
        <is>
          <t>N</t>
        </is>
      </c>
      <c r="K20" s="12" t="n"/>
      <c r="L20" s="13" t="n"/>
      <c r="M20" s="15">
        <f>IF($A20="","",IF($D20="",1,$D20)*$E20+$F20-$H20)</f>
        <v/>
      </c>
      <c r="N20" s="15">
        <f>IF($A20="","",IF($B20="Etsy",IF($D20="",1,$D20)*Settings!$C$19,0))</f>
        <v/>
      </c>
      <c r="O20" s="15">
        <f>IF($A20="","",IF($B20="Etsy",Settings!$C$20*($M20+IF(Settings!$C$54="Y",0,$H20)),0))</f>
        <v/>
      </c>
      <c r="P20" s="15">
        <f>IF($A20="","",IF($B20="Etsy",Settings!$C$21*$M20*(1+Settings!$C$55)+Settings!$C$22,IF($B20="Shopify",Settings!$C$14*$M20+Settings!$C$15,0)))</f>
        <v/>
      </c>
      <c r="Q20" s="15">
        <f>IF($A20="","",IF(AND($B20="Etsy",$I20="Y"),MIN(Settings!$C$12*($M20+IF(Settings!$C$54="Y",0,$H20)),Settings!$C$25),0))</f>
        <v/>
      </c>
      <c r="R20" s="15">
        <f>IF($A20="","",IF(AND($B20="Etsy",$J20="Y",$L20="Y",$M20&gt;0),($O20+Settings!$C$21*$M20*(1+Settings!$C$55)+IF(Settings!$C$59="Y",$Q20,0))*$T20/$M20+IF(AND(Settings!$C$58="Y",$T20&gt;=$M20),Settings!$C$22,0),0))</f>
        <v/>
      </c>
      <c r="S20" s="15">
        <f>IF($A20="","",$N20+$O20+$P20+$Q20-$R20)</f>
        <v/>
      </c>
      <c r="T20" s="15">
        <f>IF($A20="","",IF($J20="Y",IF($K20="",$M20,MIN($K20,$M20)),0))</f>
        <v/>
      </c>
      <c r="U20" s="15">
        <f>IF($A20="","",IF($D20="",1,$D20)*IFERROR(INDEX(Products!$F$5:$F$54,MATCH($C20,Products!$A$5:$A$54,0)),0))</f>
        <v/>
      </c>
      <c r="V20" s="27">
        <f>IF($A20="","",$M20-$T20-$S20-$U20-$G20)</f>
        <v/>
      </c>
      <c r="W20" s="31">
        <f>IF($A20="","",IF($M20-$T20&gt;0,$V20/($M20-$T20),""))</f>
        <v/>
      </c>
      <c r="X20" s="35">
        <f>IF($A20="","",DATE(YEAR($A20),MONTH($A20),1))</f>
        <v/>
      </c>
    </row>
    <row r="21">
      <c r="A21" s="18" t="n">
        <v>46276</v>
      </c>
      <c r="B21" s="13" t="inlineStr">
        <is>
          <t>Shopify</t>
        </is>
      </c>
      <c r="C21" s="13" t="inlineStr">
        <is>
          <t>Ceramic Mug</t>
        </is>
      </c>
      <c r="D21" s="26" t="n">
        <v>1</v>
      </c>
      <c r="E21" s="12" t="n">
        <v>32</v>
      </c>
      <c r="F21" s="12" t="n">
        <v>6.95</v>
      </c>
      <c r="G21" s="12" t="n">
        <v>7.2</v>
      </c>
      <c r="H21" s="12" t="n"/>
      <c r="I21" s="13" t="inlineStr">
        <is>
          <t>N</t>
        </is>
      </c>
      <c r="J21" s="13" t="inlineStr">
        <is>
          <t>N</t>
        </is>
      </c>
      <c r="K21" s="12" t="n"/>
      <c r="L21" s="13" t="n"/>
      <c r="M21" s="15">
        <f>IF($A21="","",IF($D21="",1,$D21)*$E21+$F21-$H21)</f>
        <v/>
      </c>
      <c r="N21" s="15">
        <f>IF($A21="","",IF($B21="Etsy",IF($D21="",1,$D21)*Settings!$C$19,0))</f>
        <v/>
      </c>
      <c r="O21" s="15">
        <f>IF($A21="","",IF($B21="Etsy",Settings!$C$20*($M21+IF(Settings!$C$54="Y",0,$H21)),0))</f>
        <v/>
      </c>
      <c r="P21" s="15">
        <f>IF($A21="","",IF($B21="Etsy",Settings!$C$21*$M21*(1+Settings!$C$55)+Settings!$C$22,IF($B21="Shopify",Settings!$C$14*$M21+Settings!$C$15,0)))</f>
        <v/>
      </c>
      <c r="Q21" s="15">
        <f>IF($A21="","",IF(AND($B21="Etsy",$I21="Y"),MIN(Settings!$C$12*($M21+IF(Settings!$C$54="Y",0,$H21)),Settings!$C$25),0))</f>
        <v/>
      </c>
      <c r="R21" s="15">
        <f>IF($A21="","",IF(AND($B21="Etsy",$J21="Y",$L21="Y",$M21&gt;0),($O21+Settings!$C$21*$M21*(1+Settings!$C$55)+IF(Settings!$C$59="Y",$Q21,0))*$T21/$M21+IF(AND(Settings!$C$58="Y",$T21&gt;=$M21),Settings!$C$22,0),0))</f>
        <v/>
      </c>
      <c r="S21" s="15">
        <f>IF($A21="","",$N21+$O21+$P21+$Q21-$R21)</f>
        <v/>
      </c>
      <c r="T21" s="15">
        <f>IF($A21="","",IF($J21="Y",IF($K21="",$M21,MIN($K21,$M21)),0))</f>
        <v/>
      </c>
      <c r="U21" s="15">
        <f>IF($A21="","",IF($D21="",1,$D21)*IFERROR(INDEX(Products!$F$5:$F$54,MATCH($C21,Products!$A$5:$A$54,0)),0))</f>
        <v/>
      </c>
      <c r="V21" s="27">
        <f>IF($A21="","",$M21-$T21-$S21-$U21-$G21)</f>
        <v/>
      </c>
      <c r="W21" s="31">
        <f>IF($A21="","",IF($M21-$T21&gt;0,$V21/($M21-$T21),""))</f>
        <v/>
      </c>
      <c r="X21" s="35">
        <f>IF($A21="","",DATE(YEAR($A21),MONTH($A21),1))</f>
        <v/>
      </c>
    </row>
    <row r="22">
      <c r="A22" s="18" t="n">
        <v>46278</v>
      </c>
      <c r="B22" s="13" t="inlineStr">
        <is>
          <t>Etsy</t>
        </is>
      </c>
      <c r="C22" s="13" t="inlineStr">
        <is>
          <t>Beaded Bracelet</t>
        </is>
      </c>
      <c r="D22" s="26" t="n">
        <v>1</v>
      </c>
      <c r="E22" s="12" t="n">
        <v>18</v>
      </c>
      <c r="F22" s="12" t="n">
        <v>0</v>
      </c>
      <c r="G22" s="12" t="n">
        <v>4</v>
      </c>
      <c r="H22" s="12" t="n"/>
      <c r="I22" s="13" t="inlineStr">
        <is>
          <t>N</t>
        </is>
      </c>
      <c r="J22" s="13" t="inlineStr">
        <is>
          <t>N</t>
        </is>
      </c>
      <c r="K22" s="12" t="n"/>
      <c r="L22" s="13" t="n"/>
      <c r="M22" s="15">
        <f>IF($A22="","",IF($D22="",1,$D22)*$E22+$F22-$H22)</f>
        <v/>
      </c>
      <c r="N22" s="15">
        <f>IF($A22="","",IF($B22="Etsy",IF($D22="",1,$D22)*Settings!$C$19,0))</f>
        <v/>
      </c>
      <c r="O22" s="15">
        <f>IF($A22="","",IF($B22="Etsy",Settings!$C$20*($M22+IF(Settings!$C$54="Y",0,$H22)),0))</f>
        <v/>
      </c>
      <c r="P22" s="15">
        <f>IF($A22="","",IF($B22="Etsy",Settings!$C$21*$M22*(1+Settings!$C$55)+Settings!$C$22,IF($B22="Shopify",Settings!$C$14*$M22+Settings!$C$15,0)))</f>
        <v/>
      </c>
      <c r="Q22" s="15">
        <f>IF($A22="","",IF(AND($B22="Etsy",$I22="Y"),MIN(Settings!$C$12*($M22+IF(Settings!$C$54="Y",0,$H22)),Settings!$C$25),0))</f>
        <v/>
      </c>
      <c r="R22" s="15">
        <f>IF($A22="","",IF(AND($B22="Etsy",$J22="Y",$L22="Y",$M22&gt;0),($O22+Settings!$C$21*$M22*(1+Settings!$C$55)+IF(Settings!$C$59="Y",$Q22,0))*$T22/$M22+IF(AND(Settings!$C$58="Y",$T22&gt;=$M22),Settings!$C$22,0),0))</f>
        <v/>
      </c>
      <c r="S22" s="15">
        <f>IF($A22="","",$N22+$O22+$P22+$Q22-$R22)</f>
        <v/>
      </c>
      <c r="T22" s="15">
        <f>IF($A22="","",IF($J22="Y",IF($K22="",$M22,MIN($K22,$M22)),0))</f>
        <v/>
      </c>
      <c r="U22" s="15">
        <f>IF($A22="","",IF($D22="",1,$D22)*IFERROR(INDEX(Products!$F$5:$F$54,MATCH($C22,Products!$A$5:$A$54,0)),0))</f>
        <v/>
      </c>
      <c r="V22" s="27">
        <f>IF($A22="","",$M22-$T22-$S22-$U22-$G22)</f>
        <v/>
      </c>
      <c r="W22" s="31">
        <f>IF($A22="","",IF($M22-$T22&gt;0,$V22/($M22-$T22),""))</f>
        <v/>
      </c>
      <c r="X22" s="35">
        <f>IF($A22="","",DATE(YEAR($A22),MONTH($A22),1))</f>
        <v/>
      </c>
    </row>
    <row r="23">
      <c r="A23" s="18" t="n">
        <v>46280</v>
      </c>
      <c r="B23" s="13" t="inlineStr">
        <is>
          <t>Etsy</t>
        </is>
      </c>
      <c r="C23" s="13" t="inlineStr">
        <is>
          <t>Linen Tote Bag</t>
        </is>
      </c>
      <c r="D23" s="26" t="n">
        <v>1</v>
      </c>
      <c r="E23" s="12" t="n">
        <v>28</v>
      </c>
      <c r="F23" s="12" t="n">
        <v>5.5</v>
      </c>
      <c r="G23" s="12" t="n">
        <v>5</v>
      </c>
      <c r="H23" s="12" t="n"/>
      <c r="I23" s="13" t="inlineStr">
        <is>
          <t>N</t>
        </is>
      </c>
      <c r="J23" s="13" t="inlineStr">
        <is>
          <t>N</t>
        </is>
      </c>
      <c r="K23" s="12" t="n"/>
      <c r="L23" s="13" t="n"/>
      <c r="M23" s="15">
        <f>IF($A23="","",IF($D23="",1,$D23)*$E23+$F23-$H23)</f>
        <v/>
      </c>
      <c r="N23" s="15">
        <f>IF($A23="","",IF($B23="Etsy",IF($D23="",1,$D23)*Settings!$C$19,0))</f>
        <v/>
      </c>
      <c r="O23" s="15">
        <f>IF($A23="","",IF($B23="Etsy",Settings!$C$20*($M23+IF(Settings!$C$54="Y",0,$H23)),0))</f>
        <v/>
      </c>
      <c r="P23" s="15">
        <f>IF($A23="","",IF($B23="Etsy",Settings!$C$21*$M23*(1+Settings!$C$55)+Settings!$C$22,IF($B23="Shopify",Settings!$C$14*$M23+Settings!$C$15,0)))</f>
        <v/>
      </c>
      <c r="Q23" s="15">
        <f>IF($A23="","",IF(AND($B23="Etsy",$I23="Y"),MIN(Settings!$C$12*($M23+IF(Settings!$C$54="Y",0,$H23)),Settings!$C$25),0))</f>
        <v/>
      </c>
      <c r="R23" s="15">
        <f>IF($A23="","",IF(AND($B23="Etsy",$J23="Y",$L23="Y",$M23&gt;0),($O23+Settings!$C$21*$M23*(1+Settings!$C$55)+IF(Settings!$C$59="Y",$Q23,0))*$T23/$M23+IF(AND(Settings!$C$58="Y",$T23&gt;=$M23),Settings!$C$22,0),0))</f>
        <v/>
      </c>
      <c r="S23" s="15">
        <f>IF($A23="","",$N23+$O23+$P23+$Q23-$R23)</f>
        <v/>
      </c>
      <c r="T23" s="15">
        <f>IF($A23="","",IF($J23="Y",IF($K23="",$M23,MIN($K23,$M23)),0))</f>
        <v/>
      </c>
      <c r="U23" s="15">
        <f>IF($A23="","",IF($D23="",1,$D23)*IFERROR(INDEX(Products!$F$5:$F$54,MATCH($C23,Products!$A$5:$A$54,0)),0))</f>
        <v/>
      </c>
      <c r="V23" s="27">
        <f>IF($A23="","",$M23-$T23-$S23-$U23-$G23)</f>
        <v/>
      </c>
      <c r="W23" s="31">
        <f>IF($A23="","",IF($M23-$T23&gt;0,$V23/($M23-$T23),""))</f>
        <v/>
      </c>
      <c r="X23" s="35">
        <f>IF($A23="","",DATE(YEAR($A23),MONTH($A23),1))</f>
        <v/>
      </c>
    </row>
    <row r="24">
      <c r="A24" s="18" t="n">
        <v>46282</v>
      </c>
      <c r="B24" s="13" t="inlineStr">
        <is>
          <t>Etsy</t>
        </is>
      </c>
      <c r="C24" s="13" t="inlineStr">
        <is>
          <t>Art Print A4</t>
        </is>
      </c>
      <c r="D24" s="26" t="n">
        <v>1</v>
      </c>
      <c r="E24" s="12" t="n">
        <v>15</v>
      </c>
      <c r="F24" s="12" t="n">
        <v>0</v>
      </c>
      <c r="G24" s="12" t="n">
        <v>1.8</v>
      </c>
      <c r="H24" s="12" t="n"/>
      <c r="I24" s="13" t="inlineStr">
        <is>
          <t>N</t>
        </is>
      </c>
      <c r="J24" s="13" t="inlineStr">
        <is>
          <t>N</t>
        </is>
      </c>
      <c r="K24" s="12" t="n"/>
      <c r="L24" s="13" t="n"/>
      <c r="M24" s="15">
        <f>IF($A24="","",IF($D24="",1,$D24)*$E24+$F24-$H24)</f>
        <v/>
      </c>
      <c r="N24" s="15">
        <f>IF($A24="","",IF($B24="Etsy",IF($D24="",1,$D24)*Settings!$C$19,0))</f>
        <v/>
      </c>
      <c r="O24" s="15">
        <f>IF($A24="","",IF($B24="Etsy",Settings!$C$20*($M24+IF(Settings!$C$54="Y",0,$H24)),0))</f>
        <v/>
      </c>
      <c r="P24" s="15">
        <f>IF($A24="","",IF($B24="Etsy",Settings!$C$21*$M24*(1+Settings!$C$55)+Settings!$C$22,IF($B24="Shopify",Settings!$C$14*$M24+Settings!$C$15,0)))</f>
        <v/>
      </c>
      <c r="Q24" s="15">
        <f>IF($A24="","",IF(AND($B24="Etsy",$I24="Y"),MIN(Settings!$C$12*($M24+IF(Settings!$C$54="Y",0,$H24)),Settings!$C$25),0))</f>
        <v/>
      </c>
      <c r="R24" s="15">
        <f>IF($A24="","",IF(AND($B24="Etsy",$J24="Y",$L24="Y",$M24&gt;0),($O24+Settings!$C$21*$M24*(1+Settings!$C$55)+IF(Settings!$C$59="Y",$Q24,0))*$T24/$M24+IF(AND(Settings!$C$58="Y",$T24&gt;=$M24),Settings!$C$22,0),0))</f>
        <v/>
      </c>
      <c r="S24" s="15">
        <f>IF($A24="","",$N24+$O24+$P24+$Q24-$R24)</f>
        <v/>
      </c>
      <c r="T24" s="15">
        <f>IF($A24="","",IF($J24="Y",IF($K24="",$M24,MIN($K24,$M24)),0))</f>
        <v/>
      </c>
      <c r="U24" s="15">
        <f>IF($A24="","",IF($D24="",1,$D24)*IFERROR(INDEX(Products!$F$5:$F$54,MATCH($C24,Products!$A$5:$A$54,0)),0))</f>
        <v/>
      </c>
      <c r="V24" s="27">
        <f>IF($A24="","",$M24-$T24-$S24-$U24-$G24)</f>
        <v/>
      </c>
      <c r="W24" s="31">
        <f>IF($A24="","",IF($M24-$T24&gt;0,$V24/($M24-$T24),""))</f>
        <v/>
      </c>
      <c r="X24" s="35">
        <f>IF($A24="","",DATE(YEAR($A24),MONTH($A24),1))</f>
        <v/>
      </c>
    </row>
    <row r="25">
      <c r="A25" s="18" t="n">
        <v>46284</v>
      </c>
      <c r="B25" s="13" t="inlineStr">
        <is>
          <t>Shopify</t>
        </is>
      </c>
      <c r="C25" s="13" t="inlineStr">
        <is>
          <t>Soy Candle 8oz</t>
        </is>
      </c>
      <c r="D25" s="26" t="n">
        <v>1</v>
      </c>
      <c r="E25" s="12" t="n">
        <v>24</v>
      </c>
      <c r="F25" s="12" t="n">
        <v>6</v>
      </c>
      <c r="G25" s="12" t="n">
        <v>6.5</v>
      </c>
      <c r="H25" s="12" t="n"/>
      <c r="I25" s="13" t="inlineStr">
        <is>
          <t>N</t>
        </is>
      </c>
      <c r="J25" s="13" t="inlineStr">
        <is>
          <t>N</t>
        </is>
      </c>
      <c r="K25" s="12" t="n"/>
      <c r="L25" s="13" t="n"/>
      <c r="M25" s="15">
        <f>IF($A25="","",IF($D25="",1,$D25)*$E25+$F25-$H25)</f>
        <v/>
      </c>
      <c r="N25" s="15">
        <f>IF($A25="","",IF($B25="Etsy",IF($D25="",1,$D25)*Settings!$C$19,0))</f>
        <v/>
      </c>
      <c r="O25" s="15">
        <f>IF($A25="","",IF($B25="Etsy",Settings!$C$20*($M25+IF(Settings!$C$54="Y",0,$H25)),0))</f>
        <v/>
      </c>
      <c r="P25" s="15">
        <f>IF($A25="","",IF($B25="Etsy",Settings!$C$21*$M25*(1+Settings!$C$55)+Settings!$C$22,IF($B25="Shopify",Settings!$C$14*$M25+Settings!$C$15,0)))</f>
        <v/>
      </c>
      <c r="Q25" s="15">
        <f>IF($A25="","",IF(AND($B25="Etsy",$I25="Y"),MIN(Settings!$C$12*($M25+IF(Settings!$C$54="Y",0,$H25)),Settings!$C$25),0))</f>
        <v/>
      </c>
      <c r="R25" s="15">
        <f>IF($A25="","",IF(AND($B25="Etsy",$J25="Y",$L25="Y",$M25&gt;0),($O25+Settings!$C$21*$M25*(1+Settings!$C$55)+IF(Settings!$C$59="Y",$Q25,0))*$T25/$M25+IF(AND(Settings!$C$58="Y",$T25&gt;=$M25),Settings!$C$22,0),0))</f>
        <v/>
      </c>
      <c r="S25" s="15">
        <f>IF($A25="","",$N25+$O25+$P25+$Q25-$R25)</f>
        <v/>
      </c>
      <c r="T25" s="15">
        <f>IF($A25="","",IF($J25="Y",IF($K25="",$M25,MIN($K25,$M25)),0))</f>
        <v/>
      </c>
      <c r="U25" s="15">
        <f>IF($A25="","",IF($D25="",1,$D25)*IFERROR(INDEX(Products!$F$5:$F$54,MATCH($C25,Products!$A$5:$A$54,0)),0))</f>
        <v/>
      </c>
      <c r="V25" s="27">
        <f>IF($A25="","",$M25-$T25-$S25-$U25-$G25)</f>
        <v/>
      </c>
      <c r="W25" s="31">
        <f>IF($A25="","",IF($M25-$T25&gt;0,$V25/($M25-$T25),""))</f>
        <v/>
      </c>
      <c r="X25" s="35">
        <f>IF($A25="","",DATE(YEAR($A25),MONTH($A25),1))</f>
        <v/>
      </c>
    </row>
    <row r="26">
      <c r="A26" s="18" t="n">
        <v>46296</v>
      </c>
      <c r="B26" s="13" t="inlineStr">
        <is>
          <t>Etsy</t>
        </is>
      </c>
      <c r="C26" s="13" t="inlineStr">
        <is>
          <t>Ceramic Mug</t>
        </is>
      </c>
      <c r="D26" s="26" t="n">
        <v>1</v>
      </c>
      <c r="E26" s="12" t="n">
        <v>32</v>
      </c>
      <c r="F26" s="12" t="n">
        <v>6.95</v>
      </c>
      <c r="G26" s="12" t="n">
        <v>7.2</v>
      </c>
      <c r="H26" s="12" t="n"/>
      <c r="I26" s="13" t="inlineStr">
        <is>
          <t>Y</t>
        </is>
      </c>
      <c r="J26" s="13" t="inlineStr">
        <is>
          <t>Y</t>
        </is>
      </c>
      <c r="K26" s="12" t="n">
        <v>8</v>
      </c>
      <c r="L26" s="13" t="inlineStr">
        <is>
          <t>Y</t>
        </is>
      </c>
      <c r="M26" s="15">
        <f>IF($A26="","",IF($D26="",1,$D26)*$E26+$F26-$H26)</f>
        <v/>
      </c>
      <c r="N26" s="15">
        <f>IF($A26="","",IF($B26="Etsy",IF($D26="",1,$D26)*Settings!$C$19,0))</f>
        <v/>
      </c>
      <c r="O26" s="15">
        <f>IF($A26="","",IF($B26="Etsy",Settings!$C$20*($M26+IF(Settings!$C$54="Y",0,$H26)),0))</f>
        <v/>
      </c>
      <c r="P26" s="15">
        <f>IF($A26="","",IF($B26="Etsy",Settings!$C$21*$M26*(1+Settings!$C$55)+Settings!$C$22,IF($B26="Shopify",Settings!$C$14*$M26+Settings!$C$15,0)))</f>
        <v/>
      </c>
      <c r="Q26" s="15">
        <f>IF($A26="","",IF(AND($B26="Etsy",$I26="Y"),MIN(Settings!$C$12*($M26+IF(Settings!$C$54="Y",0,$H26)),Settings!$C$25),0))</f>
        <v/>
      </c>
      <c r="R26" s="15">
        <f>IF($A26="","",IF(AND($B26="Etsy",$J26="Y",$L26="Y",$M26&gt;0),($O26+Settings!$C$21*$M26*(1+Settings!$C$55)+IF(Settings!$C$59="Y",$Q26,0))*$T26/$M26+IF(AND(Settings!$C$58="Y",$T26&gt;=$M26),Settings!$C$22,0),0))</f>
        <v/>
      </c>
      <c r="S26" s="15">
        <f>IF($A26="","",$N26+$O26+$P26+$Q26-$R26)</f>
        <v/>
      </c>
      <c r="T26" s="15">
        <f>IF($A26="","",IF($J26="Y",IF($K26="",$M26,MIN($K26,$M26)),0))</f>
        <v/>
      </c>
      <c r="U26" s="15">
        <f>IF($A26="","",IF($D26="",1,$D26)*IFERROR(INDEX(Products!$F$5:$F$54,MATCH($C26,Products!$A$5:$A$54,0)),0))</f>
        <v/>
      </c>
      <c r="V26" s="27">
        <f>IF($A26="","",$M26-$T26-$S26-$U26-$G26)</f>
        <v/>
      </c>
      <c r="W26" s="31">
        <f>IF($A26="","",IF($M26-$T26&gt;0,$V26/($M26-$T26),""))</f>
        <v/>
      </c>
      <c r="X26" s="35">
        <f>IF($A26="","",DATE(YEAR($A26),MONTH($A26),1))</f>
        <v/>
      </c>
    </row>
    <row r="27">
      <c r="A27" s="18" t="n">
        <v>46298</v>
      </c>
      <c r="B27" s="13" t="inlineStr">
        <is>
          <t>Etsy</t>
        </is>
      </c>
      <c r="C27" s="13" t="inlineStr">
        <is>
          <t>Beaded Bracelet</t>
        </is>
      </c>
      <c r="D27" s="26" t="n">
        <v>2</v>
      </c>
      <c r="E27" s="12" t="n">
        <v>18</v>
      </c>
      <c r="F27" s="12" t="n">
        <v>0</v>
      </c>
      <c r="G27" s="12" t="n">
        <v>4</v>
      </c>
      <c r="H27" s="12" t="n"/>
      <c r="I27" s="13" t="inlineStr">
        <is>
          <t>N</t>
        </is>
      </c>
      <c r="J27" s="13" t="inlineStr">
        <is>
          <t>N</t>
        </is>
      </c>
      <c r="K27" s="12" t="n"/>
      <c r="L27" s="13" t="n"/>
      <c r="M27" s="15">
        <f>IF($A27="","",IF($D27="",1,$D27)*$E27+$F27-$H27)</f>
        <v/>
      </c>
      <c r="N27" s="15">
        <f>IF($A27="","",IF($B27="Etsy",IF($D27="",1,$D27)*Settings!$C$19,0))</f>
        <v/>
      </c>
      <c r="O27" s="15">
        <f>IF($A27="","",IF($B27="Etsy",Settings!$C$20*($M27+IF(Settings!$C$54="Y",0,$H27)),0))</f>
        <v/>
      </c>
      <c r="P27" s="15">
        <f>IF($A27="","",IF($B27="Etsy",Settings!$C$21*$M27*(1+Settings!$C$55)+Settings!$C$22,IF($B27="Shopify",Settings!$C$14*$M27+Settings!$C$15,0)))</f>
        <v/>
      </c>
      <c r="Q27" s="15">
        <f>IF($A27="","",IF(AND($B27="Etsy",$I27="Y"),MIN(Settings!$C$12*($M27+IF(Settings!$C$54="Y",0,$H27)),Settings!$C$25),0))</f>
        <v/>
      </c>
      <c r="R27" s="15">
        <f>IF($A27="","",IF(AND($B27="Etsy",$J27="Y",$L27="Y",$M27&gt;0),($O27+Settings!$C$21*$M27*(1+Settings!$C$55)+IF(Settings!$C$59="Y",$Q27,0))*$T27/$M27+IF(AND(Settings!$C$58="Y",$T27&gt;=$M27),Settings!$C$22,0),0))</f>
        <v/>
      </c>
      <c r="S27" s="15">
        <f>IF($A27="","",$N27+$O27+$P27+$Q27-$R27)</f>
        <v/>
      </c>
      <c r="T27" s="15">
        <f>IF($A27="","",IF($J27="Y",IF($K27="",$M27,MIN($K27,$M27)),0))</f>
        <v/>
      </c>
      <c r="U27" s="15">
        <f>IF($A27="","",IF($D27="",1,$D27)*IFERROR(INDEX(Products!$F$5:$F$54,MATCH($C27,Products!$A$5:$A$54,0)),0))</f>
        <v/>
      </c>
      <c r="V27" s="27">
        <f>IF($A27="","",$M27-$T27-$S27-$U27-$G27)</f>
        <v/>
      </c>
      <c r="W27" s="31">
        <f>IF($A27="","",IF($M27-$T27&gt;0,$V27/($M27-$T27),""))</f>
        <v/>
      </c>
      <c r="X27" s="35">
        <f>IF($A27="","",DATE(YEAR($A27),MONTH($A27),1))</f>
        <v/>
      </c>
    </row>
    <row r="28">
      <c r="A28" s="18" t="n">
        <v>46300</v>
      </c>
      <c r="B28" s="13" t="inlineStr">
        <is>
          <t>Etsy</t>
        </is>
      </c>
      <c r="C28" s="13" t="inlineStr">
        <is>
          <t>Linen Tote Bag</t>
        </is>
      </c>
      <c r="D28" s="26" t="n">
        <v>1</v>
      </c>
      <c r="E28" s="12" t="n">
        <v>28</v>
      </c>
      <c r="F28" s="12" t="n">
        <v>5.5</v>
      </c>
      <c r="G28" s="12" t="n">
        <v>5</v>
      </c>
      <c r="H28" s="12" t="n">
        <v>3</v>
      </c>
      <c r="I28" s="13" t="inlineStr">
        <is>
          <t>N</t>
        </is>
      </c>
      <c r="J28" s="13" t="inlineStr">
        <is>
          <t>N</t>
        </is>
      </c>
      <c r="K28" s="12" t="n"/>
      <c r="L28" s="13" t="n"/>
      <c r="M28" s="15">
        <f>IF($A28="","",IF($D28="",1,$D28)*$E28+$F28-$H28)</f>
        <v/>
      </c>
      <c r="N28" s="15">
        <f>IF($A28="","",IF($B28="Etsy",IF($D28="",1,$D28)*Settings!$C$19,0))</f>
        <v/>
      </c>
      <c r="O28" s="15">
        <f>IF($A28="","",IF($B28="Etsy",Settings!$C$20*($M28+IF(Settings!$C$54="Y",0,$H28)),0))</f>
        <v/>
      </c>
      <c r="P28" s="15">
        <f>IF($A28="","",IF($B28="Etsy",Settings!$C$21*$M28*(1+Settings!$C$55)+Settings!$C$22,IF($B28="Shopify",Settings!$C$14*$M28+Settings!$C$15,0)))</f>
        <v/>
      </c>
      <c r="Q28" s="15">
        <f>IF($A28="","",IF(AND($B28="Etsy",$I28="Y"),MIN(Settings!$C$12*($M28+IF(Settings!$C$54="Y",0,$H28)),Settings!$C$25),0))</f>
        <v/>
      </c>
      <c r="R28" s="15">
        <f>IF($A28="","",IF(AND($B28="Etsy",$J28="Y",$L28="Y",$M28&gt;0),($O28+Settings!$C$21*$M28*(1+Settings!$C$55)+IF(Settings!$C$59="Y",$Q28,0))*$T28/$M28+IF(AND(Settings!$C$58="Y",$T28&gt;=$M28),Settings!$C$22,0),0))</f>
        <v/>
      </c>
      <c r="S28" s="15">
        <f>IF($A28="","",$N28+$O28+$P28+$Q28-$R28)</f>
        <v/>
      </c>
      <c r="T28" s="15">
        <f>IF($A28="","",IF($J28="Y",IF($K28="",$M28,MIN($K28,$M28)),0))</f>
        <v/>
      </c>
      <c r="U28" s="15">
        <f>IF($A28="","",IF($D28="",1,$D28)*IFERROR(INDEX(Products!$F$5:$F$54,MATCH($C28,Products!$A$5:$A$54,0)),0))</f>
        <v/>
      </c>
      <c r="V28" s="27">
        <f>IF($A28="","",$M28-$T28-$S28-$U28-$G28)</f>
        <v/>
      </c>
      <c r="W28" s="31">
        <f>IF($A28="","",IF($M28-$T28&gt;0,$V28/($M28-$T28),""))</f>
        <v/>
      </c>
      <c r="X28" s="35">
        <f>IF($A28="","",DATE(YEAR($A28),MONTH($A28),1))</f>
        <v/>
      </c>
    </row>
    <row r="29">
      <c r="A29" s="18" t="n">
        <v>46302</v>
      </c>
      <c r="B29" s="13" t="inlineStr">
        <is>
          <t>Shopify</t>
        </is>
      </c>
      <c r="C29" s="13" t="inlineStr">
        <is>
          <t>Art Print A4</t>
        </is>
      </c>
      <c r="D29" s="26" t="n">
        <v>1</v>
      </c>
      <c r="E29" s="12" t="n">
        <v>15</v>
      </c>
      <c r="F29" s="12" t="n">
        <v>0</v>
      </c>
      <c r="G29" s="12" t="n">
        <v>1.8</v>
      </c>
      <c r="H29" s="12" t="n"/>
      <c r="I29" s="13" t="inlineStr">
        <is>
          <t>N</t>
        </is>
      </c>
      <c r="J29" s="13" t="inlineStr">
        <is>
          <t>N</t>
        </is>
      </c>
      <c r="K29" s="12" t="n"/>
      <c r="L29" s="13" t="n"/>
      <c r="M29" s="15">
        <f>IF($A29="","",IF($D29="",1,$D29)*$E29+$F29-$H29)</f>
        <v/>
      </c>
      <c r="N29" s="15">
        <f>IF($A29="","",IF($B29="Etsy",IF($D29="",1,$D29)*Settings!$C$19,0))</f>
        <v/>
      </c>
      <c r="O29" s="15">
        <f>IF($A29="","",IF($B29="Etsy",Settings!$C$20*($M29+IF(Settings!$C$54="Y",0,$H29)),0))</f>
        <v/>
      </c>
      <c r="P29" s="15">
        <f>IF($A29="","",IF($B29="Etsy",Settings!$C$21*$M29*(1+Settings!$C$55)+Settings!$C$22,IF($B29="Shopify",Settings!$C$14*$M29+Settings!$C$15,0)))</f>
        <v/>
      </c>
      <c r="Q29" s="15">
        <f>IF($A29="","",IF(AND($B29="Etsy",$I29="Y"),MIN(Settings!$C$12*($M29+IF(Settings!$C$54="Y",0,$H29)),Settings!$C$25),0))</f>
        <v/>
      </c>
      <c r="R29" s="15">
        <f>IF($A29="","",IF(AND($B29="Etsy",$J29="Y",$L29="Y",$M29&gt;0),($O29+Settings!$C$21*$M29*(1+Settings!$C$55)+IF(Settings!$C$59="Y",$Q29,0))*$T29/$M29+IF(AND(Settings!$C$58="Y",$T29&gt;=$M29),Settings!$C$22,0),0))</f>
        <v/>
      </c>
      <c r="S29" s="15">
        <f>IF($A29="","",$N29+$O29+$P29+$Q29-$R29)</f>
        <v/>
      </c>
      <c r="T29" s="15">
        <f>IF($A29="","",IF($J29="Y",IF($K29="",$M29,MIN($K29,$M29)),0))</f>
        <v/>
      </c>
      <c r="U29" s="15">
        <f>IF($A29="","",IF($D29="",1,$D29)*IFERROR(INDEX(Products!$F$5:$F$54,MATCH($C29,Products!$A$5:$A$54,0)),0))</f>
        <v/>
      </c>
      <c r="V29" s="27">
        <f>IF($A29="","",$M29-$T29-$S29-$U29-$G29)</f>
        <v/>
      </c>
      <c r="W29" s="31">
        <f>IF($A29="","",IF($M29-$T29&gt;0,$V29/($M29-$T29),""))</f>
        <v/>
      </c>
      <c r="X29" s="35">
        <f>IF($A29="","",DATE(YEAR($A29),MONTH($A29),1))</f>
        <v/>
      </c>
    </row>
    <row r="30">
      <c r="A30" s="18" t="n">
        <v>46304</v>
      </c>
      <c r="B30" s="13" t="inlineStr">
        <is>
          <t>Etsy</t>
        </is>
      </c>
      <c r="C30" s="13" t="inlineStr">
        <is>
          <t>Soy Candle 8oz</t>
        </is>
      </c>
      <c r="D30" s="26" t="n">
        <v>1</v>
      </c>
      <c r="E30" s="12" t="n">
        <v>24</v>
      </c>
      <c r="F30" s="12" t="n">
        <v>6</v>
      </c>
      <c r="G30" s="12" t="n">
        <v>6.5</v>
      </c>
      <c r="H30" s="12" t="n"/>
      <c r="I30" s="13" t="inlineStr">
        <is>
          <t>N</t>
        </is>
      </c>
      <c r="J30" s="13" t="inlineStr">
        <is>
          <t>N</t>
        </is>
      </c>
      <c r="K30" s="12" t="n"/>
      <c r="L30" s="13" t="n"/>
      <c r="M30" s="15">
        <f>IF($A30="","",IF($D30="",1,$D30)*$E30+$F30-$H30)</f>
        <v/>
      </c>
      <c r="N30" s="15">
        <f>IF($A30="","",IF($B30="Etsy",IF($D30="",1,$D30)*Settings!$C$19,0))</f>
        <v/>
      </c>
      <c r="O30" s="15">
        <f>IF($A30="","",IF($B30="Etsy",Settings!$C$20*($M30+IF(Settings!$C$54="Y",0,$H30)),0))</f>
        <v/>
      </c>
      <c r="P30" s="15">
        <f>IF($A30="","",IF($B30="Etsy",Settings!$C$21*$M30*(1+Settings!$C$55)+Settings!$C$22,IF($B30="Shopify",Settings!$C$14*$M30+Settings!$C$15,0)))</f>
        <v/>
      </c>
      <c r="Q30" s="15">
        <f>IF($A30="","",IF(AND($B30="Etsy",$I30="Y"),MIN(Settings!$C$12*($M30+IF(Settings!$C$54="Y",0,$H30)),Settings!$C$25),0))</f>
        <v/>
      </c>
      <c r="R30" s="15">
        <f>IF($A30="","",IF(AND($B30="Etsy",$J30="Y",$L30="Y",$M30&gt;0),($O30+Settings!$C$21*$M30*(1+Settings!$C$55)+IF(Settings!$C$59="Y",$Q30,0))*$T30/$M30+IF(AND(Settings!$C$58="Y",$T30&gt;=$M30),Settings!$C$22,0),0))</f>
        <v/>
      </c>
      <c r="S30" s="15">
        <f>IF($A30="","",$N30+$O30+$P30+$Q30-$R30)</f>
        <v/>
      </c>
      <c r="T30" s="15">
        <f>IF($A30="","",IF($J30="Y",IF($K30="",$M30,MIN($K30,$M30)),0))</f>
        <v/>
      </c>
      <c r="U30" s="15">
        <f>IF($A30="","",IF($D30="",1,$D30)*IFERROR(INDEX(Products!$F$5:$F$54,MATCH($C30,Products!$A$5:$A$54,0)),0))</f>
        <v/>
      </c>
      <c r="V30" s="27">
        <f>IF($A30="","",$M30-$T30-$S30-$U30-$G30)</f>
        <v/>
      </c>
      <c r="W30" s="31">
        <f>IF($A30="","",IF($M30-$T30&gt;0,$V30/($M30-$T30),""))</f>
        <v/>
      </c>
      <c r="X30" s="35">
        <f>IF($A30="","",DATE(YEAR($A30),MONTH($A30),1))</f>
        <v/>
      </c>
    </row>
    <row r="31">
      <c r="A31" s="18" t="n">
        <v>46306</v>
      </c>
      <c r="B31" s="13" t="inlineStr">
        <is>
          <t>Etsy</t>
        </is>
      </c>
      <c r="C31" s="13" t="inlineStr">
        <is>
          <t>Ceramic Mug</t>
        </is>
      </c>
      <c r="D31" s="26" t="n">
        <v>1</v>
      </c>
      <c r="E31" s="12" t="n">
        <v>32</v>
      </c>
      <c r="F31" s="12" t="n">
        <v>6.95</v>
      </c>
      <c r="G31" s="12" t="n">
        <v>7.2</v>
      </c>
      <c r="H31" s="12" t="n"/>
      <c r="I31" s="13" t="inlineStr">
        <is>
          <t>N</t>
        </is>
      </c>
      <c r="J31" s="13" t="inlineStr">
        <is>
          <t>Y</t>
        </is>
      </c>
      <c r="K31" s="12" t="n">
        <v>5</v>
      </c>
      <c r="L31" s="13" t="inlineStr">
        <is>
          <t>N</t>
        </is>
      </c>
      <c r="M31" s="15">
        <f>IF($A31="","",IF($D31="",1,$D31)*$E31+$F31-$H31)</f>
        <v/>
      </c>
      <c r="N31" s="15">
        <f>IF($A31="","",IF($B31="Etsy",IF($D31="",1,$D31)*Settings!$C$19,0))</f>
        <v/>
      </c>
      <c r="O31" s="15">
        <f>IF($A31="","",IF($B31="Etsy",Settings!$C$20*($M31+IF(Settings!$C$54="Y",0,$H31)),0))</f>
        <v/>
      </c>
      <c r="P31" s="15">
        <f>IF($A31="","",IF($B31="Etsy",Settings!$C$21*$M31*(1+Settings!$C$55)+Settings!$C$22,IF($B31="Shopify",Settings!$C$14*$M31+Settings!$C$15,0)))</f>
        <v/>
      </c>
      <c r="Q31" s="15">
        <f>IF($A31="","",IF(AND($B31="Etsy",$I31="Y"),MIN(Settings!$C$12*($M31+IF(Settings!$C$54="Y",0,$H31)),Settings!$C$25),0))</f>
        <v/>
      </c>
      <c r="R31" s="15">
        <f>IF($A31="","",IF(AND($B31="Etsy",$J31="Y",$L31="Y",$M31&gt;0),($O31+Settings!$C$21*$M31*(1+Settings!$C$55)+IF(Settings!$C$59="Y",$Q31,0))*$T31/$M31+IF(AND(Settings!$C$58="Y",$T31&gt;=$M31),Settings!$C$22,0),0))</f>
        <v/>
      </c>
      <c r="S31" s="15">
        <f>IF($A31="","",$N31+$O31+$P31+$Q31-$R31)</f>
        <v/>
      </c>
      <c r="T31" s="15">
        <f>IF($A31="","",IF($J31="Y",IF($K31="",$M31,MIN($K31,$M31)),0))</f>
        <v/>
      </c>
      <c r="U31" s="15">
        <f>IF($A31="","",IF($D31="",1,$D31)*IFERROR(INDEX(Products!$F$5:$F$54,MATCH($C31,Products!$A$5:$A$54,0)),0))</f>
        <v/>
      </c>
      <c r="V31" s="27">
        <f>IF($A31="","",$M31-$T31-$S31-$U31-$G31)</f>
        <v/>
      </c>
      <c r="W31" s="31">
        <f>IF($A31="","",IF($M31-$T31&gt;0,$V31/($M31-$T31),""))</f>
        <v/>
      </c>
      <c r="X31" s="35">
        <f>IF($A31="","",DATE(YEAR($A31),MONTH($A31),1))</f>
        <v/>
      </c>
    </row>
    <row r="32">
      <c r="A32" s="18" t="n">
        <v>46308</v>
      </c>
      <c r="B32" s="13" t="inlineStr">
        <is>
          <t>Etsy</t>
        </is>
      </c>
      <c r="C32" s="13" t="inlineStr">
        <is>
          <t>Beaded Bracelet</t>
        </is>
      </c>
      <c r="D32" s="26" t="n">
        <v>1</v>
      </c>
      <c r="E32" s="12" t="n">
        <v>18</v>
      </c>
      <c r="F32" s="12" t="n">
        <v>0</v>
      </c>
      <c r="G32" s="12" t="n">
        <v>4</v>
      </c>
      <c r="H32" s="12" t="n"/>
      <c r="I32" s="13" t="inlineStr">
        <is>
          <t>Y</t>
        </is>
      </c>
      <c r="J32" s="13" t="inlineStr">
        <is>
          <t>N</t>
        </is>
      </c>
      <c r="K32" s="12" t="n"/>
      <c r="L32" s="13" t="n"/>
      <c r="M32" s="15">
        <f>IF($A32="","",IF($D32="",1,$D32)*$E32+$F32-$H32)</f>
        <v/>
      </c>
      <c r="N32" s="15">
        <f>IF($A32="","",IF($B32="Etsy",IF($D32="",1,$D32)*Settings!$C$19,0))</f>
        <v/>
      </c>
      <c r="O32" s="15">
        <f>IF($A32="","",IF($B32="Etsy",Settings!$C$20*($M32+IF(Settings!$C$54="Y",0,$H32)),0))</f>
        <v/>
      </c>
      <c r="P32" s="15">
        <f>IF($A32="","",IF($B32="Etsy",Settings!$C$21*$M32*(1+Settings!$C$55)+Settings!$C$22,IF($B32="Shopify",Settings!$C$14*$M32+Settings!$C$15,0)))</f>
        <v/>
      </c>
      <c r="Q32" s="15">
        <f>IF($A32="","",IF(AND($B32="Etsy",$I32="Y"),MIN(Settings!$C$12*($M32+IF(Settings!$C$54="Y",0,$H32)),Settings!$C$25),0))</f>
        <v/>
      </c>
      <c r="R32" s="15">
        <f>IF($A32="","",IF(AND($B32="Etsy",$J32="Y",$L32="Y",$M32&gt;0),($O32+Settings!$C$21*$M32*(1+Settings!$C$55)+IF(Settings!$C$59="Y",$Q32,0))*$T32/$M32+IF(AND(Settings!$C$58="Y",$T32&gt;=$M32),Settings!$C$22,0),0))</f>
        <v/>
      </c>
      <c r="S32" s="15">
        <f>IF($A32="","",$N32+$O32+$P32+$Q32-$R32)</f>
        <v/>
      </c>
      <c r="T32" s="15">
        <f>IF($A32="","",IF($J32="Y",IF($K32="",$M32,MIN($K32,$M32)),0))</f>
        <v/>
      </c>
      <c r="U32" s="15">
        <f>IF($A32="","",IF($D32="",1,$D32)*IFERROR(INDEX(Products!$F$5:$F$54,MATCH($C32,Products!$A$5:$A$54,0)),0))</f>
        <v/>
      </c>
      <c r="V32" s="27">
        <f>IF($A32="","",$M32-$T32-$S32-$U32-$G32)</f>
        <v/>
      </c>
      <c r="W32" s="31">
        <f>IF($A32="","",IF($M32-$T32&gt;0,$V32/($M32-$T32),""))</f>
        <v/>
      </c>
      <c r="X32" s="35">
        <f>IF($A32="","",DATE(YEAR($A32),MONTH($A32),1))</f>
        <v/>
      </c>
    </row>
    <row r="33">
      <c r="A33" s="18" t="n">
        <v>46310</v>
      </c>
      <c r="B33" s="13" t="inlineStr">
        <is>
          <t>Shopify</t>
        </is>
      </c>
      <c r="C33" s="13" t="inlineStr">
        <is>
          <t>Linen Tote Bag</t>
        </is>
      </c>
      <c r="D33" s="26" t="n">
        <v>1</v>
      </c>
      <c r="E33" s="12" t="n">
        <v>28</v>
      </c>
      <c r="F33" s="12" t="n">
        <v>5.5</v>
      </c>
      <c r="G33" s="12" t="n">
        <v>5</v>
      </c>
      <c r="H33" s="12" t="n"/>
      <c r="I33" s="13" t="inlineStr">
        <is>
          <t>N</t>
        </is>
      </c>
      <c r="J33" s="13" t="inlineStr">
        <is>
          <t>N</t>
        </is>
      </c>
      <c r="K33" s="12" t="n"/>
      <c r="L33" s="13" t="n"/>
      <c r="M33" s="15">
        <f>IF($A33="","",IF($D33="",1,$D33)*$E33+$F33-$H33)</f>
        <v/>
      </c>
      <c r="N33" s="15">
        <f>IF($A33="","",IF($B33="Etsy",IF($D33="",1,$D33)*Settings!$C$19,0))</f>
        <v/>
      </c>
      <c r="O33" s="15">
        <f>IF($A33="","",IF($B33="Etsy",Settings!$C$20*($M33+IF(Settings!$C$54="Y",0,$H33)),0))</f>
        <v/>
      </c>
      <c r="P33" s="15">
        <f>IF($A33="","",IF($B33="Etsy",Settings!$C$21*$M33*(1+Settings!$C$55)+Settings!$C$22,IF($B33="Shopify",Settings!$C$14*$M33+Settings!$C$15,0)))</f>
        <v/>
      </c>
      <c r="Q33" s="15">
        <f>IF($A33="","",IF(AND($B33="Etsy",$I33="Y"),MIN(Settings!$C$12*($M33+IF(Settings!$C$54="Y",0,$H33)),Settings!$C$25),0))</f>
        <v/>
      </c>
      <c r="R33" s="15">
        <f>IF($A33="","",IF(AND($B33="Etsy",$J33="Y",$L33="Y",$M33&gt;0),($O33+Settings!$C$21*$M33*(1+Settings!$C$55)+IF(Settings!$C$59="Y",$Q33,0))*$T33/$M33+IF(AND(Settings!$C$58="Y",$T33&gt;=$M33),Settings!$C$22,0),0))</f>
        <v/>
      </c>
      <c r="S33" s="15">
        <f>IF($A33="","",$N33+$O33+$P33+$Q33-$R33)</f>
        <v/>
      </c>
      <c r="T33" s="15">
        <f>IF($A33="","",IF($J33="Y",IF($K33="",$M33,MIN($K33,$M33)),0))</f>
        <v/>
      </c>
      <c r="U33" s="15">
        <f>IF($A33="","",IF($D33="",1,$D33)*IFERROR(INDEX(Products!$F$5:$F$54,MATCH($C33,Products!$A$5:$A$54,0)),0))</f>
        <v/>
      </c>
      <c r="V33" s="27">
        <f>IF($A33="","",$M33-$T33-$S33-$U33-$G33)</f>
        <v/>
      </c>
      <c r="W33" s="31">
        <f>IF($A33="","",IF($M33-$T33&gt;0,$V33/($M33-$T33),""))</f>
        <v/>
      </c>
      <c r="X33" s="35">
        <f>IF($A33="","",DATE(YEAR($A33),MONTH($A33),1))</f>
        <v/>
      </c>
    </row>
    <row r="34">
      <c r="A34" s="18" t="n">
        <v>46312</v>
      </c>
      <c r="B34" s="13" t="inlineStr">
        <is>
          <t>Etsy</t>
        </is>
      </c>
      <c r="C34" s="13" t="inlineStr">
        <is>
          <t>Art Print A4</t>
        </is>
      </c>
      <c r="D34" s="26" t="n">
        <v>2</v>
      </c>
      <c r="E34" s="12" t="n">
        <v>15</v>
      </c>
      <c r="F34" s="12" t="n">
        <v>0</v>
      </c>
      <c r="G34" s="12" t="n">
        <v>1.8</v>
      </c>
      <c r="H34" s="12" t="n"/>
      <c r="I34" s="13" t="inlineStr">
        <is>
          <t>N</t>
        </is>
      </c>
      <c r="J34" s="13" t="inlineStr">
        <is>
          <t>N</t>
        </is>
      </c>
      <c r="K34" s="12" t="n"/>
      <c r="L34" s="13" t="n"/>
      <c r="M34" s="15">
        <f>IF($A34="","",IF($D34="",1,$D34)*$E34+$F34-$H34)</f>
        <v/>
      </c>
      <c r="N34" s="15">
        <f>IF($A34="","",IF($B34="Etsy",IF($D34="",1,$D34)*Settings!$C$19,0))</f>
        <v/>
      </c>
      <c r="O34" s="15">
        <f>IF($A34="","",IF($B34="Etsy",Settings!$C$20*($M34+IF(Settings!$C$54="Y",0,$H34)),0))</f>
        <v/>
      </c>
      <c r="P34" s="15">
        <f>IF($A34="","",IF($B34="Etsy",Settings!$C$21*$M34*(1+Settings!$C$55)+Settings!$C$22,IF($B34="Shopify",Settings!$C$14*$M34+Settings!$C$15,0)))</f>
        <v/>
      </c>
      <c r="Q34" s="15">
        <f>IF($A34="","",IF(AND($B34="Etsy",$I34="Y"),MIN(Settings!$C$12*($M34+IF(Settings!$C$54="Y",0,$H34)),Settings!$C$25),0))</f>
        <v/>
      </c>
      <c r="R34" s="15">
        <f>IF($A34="","",IF(AND($B34="Etsy",$J34="Y",$L34="Y",$M34&gt;0),($O34+Settings!$C$21*$M34*(1+Settings!$C$55)+IF(Settings!$C$59="Y",$Q34,0))*$T34/$M34+IF(AND(Settings!$C$58="Y",$T34&gt;=$M34),Settings!$C$22,0),0))</f>
        <v/>
      </c>
      <c r="S34" s="15">
        <f>IF($A34="","",$N34+$O34+$P34+$Q34-$R34)</f>
        <v/>
      </c>
      <c r="T34" s="15">
        <f>IF($A34="","",IF($J34="Y",IF($K34="",$M34,MIN($K34,$M34)),0))</f>
        <v/>
      </c>
      <c r="U34" s="15">
        <f>IF($A34="","",IF($D34="",1,$D34)*IFERROR(INDEX(Products!$F$5:$F$54,MATCH($C34,Products!$A$5:$A$54,0)),0))</f>
        <v/>
      </c>
      <c r="V34" s="27">
        <f>IF($A34="","",$M34-$T34-$S34-$U34-$G34)</f>
        <v/>
      </c>
      <c r="W34" s="31">
        <f>IF($A34="","",IF($M34-$T34&gt;0,$V34/($M34-$T34),""))</f>
        <v/>
      </c>
      <c r="X34" s="35">
        <f>IF($A34="","",DATE(YEAR($A34),MONTH($A34),1))</f>
        <v/>
      </c>
    </row>
    <row r="35">
      <c r="A35" s="18" t="n">
        <v>46314</v>
      </c>
      <c r="B35" s="13" t="inlineStr">
        <is>
          <t>Etsy</t>
        </is>
      </c>
      <c r="C35" s="13" t="inlineStr">
        <is>
          <t>Soy Candle 8oz</t>
        </is>
      </c>
      <c r="D35" s="26" t="n">
        <v>1</v>
      </c>
      <c r="E35" s="12" t="n">
        <v>24</v>
      </c>
      <c r="F35" s="12" t="n">
        <v>6</v>
      </c>
      <c r="G35" s="12" t="n">
        <v>6.5</v>
      </c>
      <c r="H35" s="12" t="n"/>
      <c r="I35" s="13" t="inlineStr">
        <is>
          <t>N</t>
        </is>
      </c>
      <c r="J35" s="13" t="inlineStr">
        <is>
          <t>N</t>
        </is>
      </c>
      <c r="K35" s="12" t="n"/>
      <c r="L35" s="13" t="n"/>
      <c r="M35" s="15">
        <f>IF($A35="","",IF($D35="",1,$D35)*$E35+$F35-$H35)</f>
        <v/>
      </c>
      <c r="N35" s="15">
        <f>IF($A35="","",IF($B35="Etsy",IF($D35="",1,$D35)*Settings!$C$19,0))</f>
        <v/>
      </c>
      <c r="O35" s="15">
        <f>IF($A35="","",IF($B35="Etsy",Settings!$C$20*($M35+IF(Settings!$C$54="Y",0,$H35)),0))</f>
        <v/>
      </c>
      <c r="P35" s="15">
        <f>IF($A35="","",IF($B35="Etsy",Settings!$C$21*$M35*(1+Settings!$C$55)+Settings!$C$22,IF($B35="Shopify",Settings!$C$14*$M35+Settings!$C$15,0)))</f>
        <v/>
      </c>
      <c r="Q35" s="15">
        <f>IF($A35="","",IF(AND($B35="Etsy",$I35="Y"),MIN(Settings!$C$12*($M35+IF(Settings!$C$54="Y",0,$H35)),Settings!$C$25),0))</f>
        <v/>
      </c>
      <c r="R35" s="15">
        <f>IF($A35="","",IF(AND($B35="Etsy",$J35="Y",$L35="Y",$M35&gt;0),($O35+Settings!$C$21*$M35*(1+Settings!$C$55)+IF(Settings!$C$59="Y",$Q35,0))*$T35/$M35+IF(AND(Settings!$C$58="Y",$T35&gt;=$M35),Settings!$C$22,0),0))</f>
        <v/>
      </c>
      <c r="S35" s="15">
        <f>IF($A35="","",$N35+$O35+$P35+$Q35-$R35)</f>
        <v/>
      </c>
      <c r="T35" s="15">
        <f>IF($A35="","",IF($J35="Y",IF($K35="",$M35,MIN($K35,$M35)),0))</f>
        <v/>
      </c>
      <c r="U35" s="15">
        <f>IF($A35="","",IF($D35="",1,$D35)*IFERROR(INDEX(Products!$F$5:$F$54,MATCH($C35,Products!$A$5:$A$54,0)),0))</f>
        <v/>
      </c>
      <c r="V35" s="27">
        <f>IF($A35="","",$M35-$T35-$S35-$U35-$G35)</f>
        <v/>
      </c>
      <c r="W35" s="31">
        <f>IF($A35="","",IF($M35-$T35&gt;0,$V35/($M35-$T35),""))</f>
        <v/>
      </c>
      <c r="X35" s="35">
        <f>IF($A35="","",DATE(YEAR($A35),MONTH($A35),1))</f>
        <v/>
      </c>
    </row>
    <row r="36">
      <c r="A36" s="18" t="n"/>
      <c r="B36" s="13" t="n"/>
      <c r="C36" s="13" t="n"/>
      <c r="D36" s="26" t="n"/>
      <c r="E36" s="12" t="n"/>
      <c r="F36" s="12" t="n"/>
      <c r="G36" s="12" t="n"/>
      <c r="H36" s="12" t="n"/>
      <c r="I36" s="13" t="n"/>
      <c r="J36" s="13" t="n"/>
      <c r="K36" s="12" t="n"/>
      <c r="L36" s="13" t="n"/>
      <c r="M36" s="15">
        <f>IF($A36="","",IF($D36="",1,$D36)*$E36+$F36-$H36)</f>
        <v/>
      </c>
      <c r="N36" s="15">
        <f>IF($A36="","",IF($B36="Etsy",IF($D36="",1,$D36)*Settings!$C$19,0))</f>
        <v/>
      </c>
      <c r="O36" s="15">
        <f>IF($A36="","",IF($B36="Etsy",Settings!$C$20*($M36+IF(Settings!$C$54="Y",0,$H36)),0))</f>
        <v/>
      </c>
      <c r="P36" s="15">
        <f>IF($A36="","",IF($B36="Etsy",Settings!$C$21*$M36*(1+Settings!$C$55)+Settings!$C$22,IF($B36="Shopify",Settings!$C$14*$M36+Settings!$C$15,0)))</f>
        <v/>
      </c>
      <c r="Q36" s="15">
        <f>IF($A36="","",IF(AND($B36="Etsy",$I36="Y"),MIN(Settings!$C$12*($M36+IF(Settings!$C$54="Y",0,$H36)),Settings!$C$25),0))</f>
        <v/>
      </c>
      <c r="R36" s="15">
        <f>IF($A36="","",IF(AND($B36="Etsy",$J36="Y",$L36="Y",$M36&gt;0),($O36+Settings!$C$21*$M36*(1+Settings!$C$55)+IF(Settings!$C$59="Y",$Q36,0))*$T36/$M36+IF(AND(Settings!$C$58="Y",$T36&gt;=$M36),Settings!$C$22,0),0))</f>
        <v/>
      </c>
      <c r="S36" s="15">
        <f>IF($A36="","",$N36+$O36+$P36+$Q36-$R36)</f>
        <v/>
      </c>
      <c r="T36" s="15">
        <f>IF($A36="","",IF($J36="Y",IF($K36="",$M36,MIN($K36,$M36)),0))</f>
        <v/>
      </c>
      <c r="U36" s="15">
        <f>IF($A36="","",IF($D36="",1,$D36)*IFERROR(INDEX(Products!$F$5:$F$54,MATCH($C36,Products!$A$5:$A$54,0)),0))</f>
        <v/>
      </c>
      <c r="V36" s="27">
        <f>IF($A36="","",$M36-$T36-$S36-$U36-$G36)</f>
        <v/>
      </c>
      <c r="W36" s="31">
        <f>IF($A36="","",IF($M36-$T36&gt;0,$V36/($M36-$T36),""))</f>
        <v/>
      </c>
      <c r="X36" s="35">
        <f>IF($A36="","",DATE(YEAR($A36),MONTH($A36),1))</f>
        <v/>
      </c>
    </row>
    <row r="37">
      <c r="A37" s="18" t="n"/>
      <c r="B37" s="13" t="n"/>
      <c r="C37" s="13" t="n"/>
      <c r="D37" s="26" t="n"/>
      <c r="E37" s="12" t="n"/>
      <c r="F37" s="12" t="n"/>
      <c r="G37" s="12" t="n"/>
      <c r="H37" s="12" t="n"/>
      <c r="I37" s="13" t="n"/>
      <c r="J37" s="13" t="n"/>
      <c r="K37" s="12" t="n"/>
      <c r="L37" s="13" t="n"/>
      <c r="M37" s="15">
        <f>IF($A37="","",IF($D37="",1,$D37)*$E37+$F37-$H37)</f>
        <v/>
      </c>
      <c r="N37" s="15">
        <f>IF($A37="","",IF($B37="Etsy",IF($D37="",1,$D37)*Settings!$C$19,0))</f>
        <v/>
      </c>
      <c r="O37" s="15">
        <f>IF($A37="","",IF($B37="Etsy",Settings!$C$20*($M37+IF(Settings!$C$54="Y",0,$H37)),0))</f>
        <v/>
      </c>
      <c r="P37" s="15">
        <f>IF($A37="","",IF($B37="Etsy",Settings!$C$21*$M37*(1+Settings!$C$55)+Settings!$C$22,IF($B37="Shopify",Settings!$C$14*$M37+Settings!$C$15,0)))</f>
        <v/>
      </c>
      <c r="Q37" s="15">
        <f>IF($A37="","",IF(AND($B37="Etsy",$I37="Y"),MIN(Settings!$C$12*($M37+IF(Settings!$C$54="Y",0,$H37)),Settings!$C$25),0))</f>
        <v/>
      </c>
      <c r="R37" s="15">
        <f>IF($A37="","",IF(AND($B37="Etsy",$J37="Y",$L37="Y",$M37&gt;0),($O37+Settings!$C$21*$M37*(1+Settings!$C$55)+IF(Settings!$C$59="Y",$Q37,0))*$T37/$M37+IF(AND(Settings!$C$58="Y",$T37&gt;=$M37),Settings!$C$22,0),0))</f>
        <v/>
      </c>
      <c r="S37" s="15">
        <f>IF($A37="","",$N37+$O37+$P37+$Q37-$R37)</f>
        <v/>
      </c>
      <c r="T37" s="15">
        <f>IF($A37="","",IF($J37="Y",IF($K37="",$M37,MIN($K37,$M37)),0))</f>
        <v/>
      </c>
      <c r="U37" s="15">
        <f>IF($A37="","",IF($D37="",1,$D37)*IFERROR(INDEX(Products!$F$5:$F$54,MATCH($C37,Products!$A$5:$A$54,0)),0))</f>
        <v/>
      </c>
      <c r="V37" s="27">
        <f>IF($A37="","",$M37-$T37-$S37-$U37-$G37)</f>
        <v/>
      </c>
      <c r="W37" s="31">
        <f>IF($A37="","",IF($M37-$T37&gt;0,$V37/($M37-$T37),""))</f>
        <v/>
      </c>
      <c r="X37" s="35">
        <f>IF($A37="","",DATE(YEAR($A37),MONTH($A37),1))</f>
        <v/>
      </c>
    </row>
    <row r="38">
      <c r="A38" s="18" t="n"/>
      <c r="B38" s="13" t="n"/>
      <c r="C38" s="13" t="n"/>
      <c r="D38" s="26" t="n"/>
      <c r="E38" s="12" t="n"/>
      <c r="F38" s="12" t="n"/>
      <c r="G38" s="12" t="n"/>
      <c r="H38" s="12" t="n"/>
      <c r="I38" s="13" t="n"/>
      <c r="J38" s="13" t="n"/>
      <c r="K38" s="12" t="n"/>
      <c r="L38" s="13" t="n"/>
      <c r="M38" s="15">
        <f>IF($A38="","",IF($D38="",1,$D38)*$E38+$F38-$H38)</f>
        <v/>
      </c>
      <c r="N38" s="15">
        <f>IF($A38="","",IF($B38="Etsy",IF($D38="",1,$D38)*Settings!$C$19,0))</f>
        <v/>
      </c>
      <c r="O38" s="15">
        <f>IF($A38="","",IF($B38="Etsy",Settings!$C$20*($M38+IF(Settings!$C$54="Y",0,$H38)),0))</f>
        <v/>
      </c>
      <c r="P38" s="15">
        <f>IF($A38="","",IF($B38="Etsy",Settings!$C$21*$M38*(1+Settings!$C$55)+Settings!$C$22,IF($B38="Shopify",Settings!$C$14*$M38+Settings!$C$15,0)))</f>
        <v/>
      </c>
      <c r="Q38" s="15">
        <f>IF($A38="","",IF(AND($B38="Etsy",$I38="Y"),MIN(Settings!$C$12*($M38+IF(Settings!$C$54="Y",0,$H38)),Settings!$C$25),0))</f>
        <v/>
      </c>
      <c r="R38" s="15">
        <f>IF($A38="","",IF(AND($B38="Etsy",$J38="Y",$L38="Y",$M38&gt;0),($O38+Settings!$C$21*$M38*(1+Settings!$C$55)+IF(Settings!$C$59="Y",$Q38,0))*$T38/$M38+IF(AND(Settings!$C$58="Y",$T38&gt;=$M38),Settings!$C$22,0),0))</f>
        <v/>
      </c>
      <c r="S38" s="15">
        <f>IF($A38="","",$N38+$O38+$P38+$Q38-$R38)</f>
        <v/>
      </c>
      <c r="T38" s="15">
        <f>IF($A38="","",IF($J38="Y",IF($K38="",$M38,MIN($K38,$M38)),0))</f>
        <v/>
      </c>
      <c r="U38" s="15">
        <f>IF($A38="","",IF($D38="",1,$D38)*IFERROR(INDEX(Products!$F$5:$F$54,MATCH($C38,Products!$A$5:$A$54,0)),0))</f>
        <v/>
      </c>
      <c r="V38" s="27">
        <f>IF($A38="","",$M38-$T38-$S38-$U38-$G38)</f>
        <v/>
      </c>
      <c r="W38" s="31">
        <f>IF($A38="","",IF($M38-$T38&gt;0,$V38/($M38-$T38),""))</f>
        <v/>
      </c>
      <c r="X38" s="35">
        <f>IF($A38="","",DATE(YEAR($A38),MONTH($A38),1))</f>
        <v/>
      </c>
    </row>
    <row r="39">
      <c r="A39" s="18" t="n"/>
      <c r="B39" s="13" t="n"/>
      <c r="C39" s="13" t="n"/>
      <c r="D39" s="26" t="n"/>
      <c r="E39" s="12" t="n"/>
      <c r="F39" s="12" t="n"/>
      <c r="G39" s="12" t="n"/>
      <c r="H39" s="12" t="n"/>
      <c r="I39" s="13" t="n"/>
      <c r="J39" s="13" t="n"/>
      <c r="K39" s="12" t="n"/>
      <c r="L39" s="13" t="n"/>
      <c r="M39" s="15">
        <f>IF($A39="","",IF($D39="",1,$D39)*$E39+$F39-$H39)</f>
        <v/>
      </c>
      <c r="N39" s="15">
        <f>IF($A39="","",IF($B39="Etsy",IF($D39="",1,$D39)*Settings!$C$19,0))</f>
        <v/>
      </c>
      <c r="O39" s="15">
        <f>IF($A39="","",IF($B39="Etsy",Settings!$C$20*($M39+IF(Settings!$C$54="Y",0,$H39)),0))</f>
        <v/>
      </c>
      <c r="P39" s="15">
        <f>IF($A39="","",IF($B39="Etsy",Settings!$C$21*$M39*(1+Settings!$C$55)+Settings!$C$22,IF($B39="Shopify",Settings!$C$14*$M39+Settings!$C$15,0)))</f>
        <v/>
      </c>
      <c r="Q39" s="15">
        <f>IF($A39="","",IF(AND($B39="Etsy",$I39="Y"),MIN(Settings!$C$12*($M39+IF(Settings!$C$54="Y",0,$H39)),Settings!$C$25),0))</f>
        <v/>
      </c>
      <c r="R39" s="15">
        <f>IF($A39="","",IF(AND($B39="Etsy",$J39="Y",$L39="Y",$M39&gt;0),($O39+Settings!$C$21*$M39*(1+Settings!$C$55)+IF(Settings!$C$59="Y",$Q39,0))*$T39/$M39+IF(AND(Settings!$C$58="Y",$T39&gt;=$M39),Settings!$C$22,0),0))</f>
        <v/>
      </c>
      <c r="S39" s="15">
        <f>IF($A39="","",$N39+$O39+$P39+$Q39-$R39)</f>
        <v/>
      </c>
      <c r="T39" s="15">
        <f>IF($A39="","",IF($J39="Y",IF($K39="",$M39,MIN($K39,$M39)),0))</f>
        <v/>
      </c>
      <c r="U39" s="15">
        <f>IF($A39="","",IF($D39="",1,$D39)*IFERROR(INDEX(Products!$F$5:$F$54,MATCH($C39,Products!$A$5:$A$54,0)),0))</f>
        <v/>
      </c>
      <c r="V39" s="27">
        <f>IF($A39="","",$M39-$T39-$S39-$U39-$G39)</f>
        <v/>
      </c>
      <c r="W39" s="31">
        <f>IF($A39="","",IF($M39-$T39&gt;0,$V39/($M39-$T39),""))</f>
        <v/>
      </c>
      <c r="X39" s="35">
        <f>IF($A39="","",DATE(YEAR($A39),MONTH($A39),1))</f>
        <v/>
      </c>
    </row>
    <row r="40">
      <c r="A40" s="18" t="n"/>
      <c r="B40" s="13" t="n"/>
      <c r="C40" s="13" t="n"/>
      <c r="D40" s="26" t="n"/>
      <c r="E40" s="12" t="n"/>
      <c r="F40" s="12" t="n"/>
      <c r="G40" s="12" t="n"/>
      <c r="H40" s="12" t="n"/>
      <c r="I40" s="13" t="n"/>
      <c r="J40" s="13" t="n"/>
      <c r="K40" s="12" t="n"/>
      <c r="L40" s="13" t="n"/>
      <c r="M40" s="15">
        <f>IF($A40="","",IF($D40="",1,$D40)*$E40+$F40-$H40)</f>
        <v/>
      </c>
      <c r="N40" s="15">
        <f>IF($A40="","",IF($B40="Etsy",IF($D40="",1,$D40)*Settings!$C$19,0))</f>
        <v/>
      </c>
      <c r="O40" s="15">
        <f>IF($A40="","",IF($B40="Etsy",Settings!$C$20*($M40+IF(Settings!$C$54="Y",0,$H40)),0))</f>
        <v/>
      </c>
      <c r="P40" s="15">
        <f>IF($A40="","",IF($B40="Etsy",Settings!$C$21*$M40*(1+Settings!$C$55)+Settings!$C$22,IF($B40="Shopify",Settings!$C$14*$M40+Settings!$C$15,0)))</f>
        <v/>
      </c>
      <c r="Q40" s="15">
        <f>IF($A40="","",IF(AND($B40="Etsy",$I40="Y"),MIN(Settings!$C$12*($M40+IF(Settings!$C$54="Y",0,$H40)),Settings!$C$25),0))</f>
        <v/>
      </c>
      <c r="R40" s="15">
        <f>IF($A40="","",IF(AND($B40="Etsy",$J40="Y",$L40="Y",$M40&gt;0),($O40+Settings!$C$21*$M40*(1+Settings!$C$55)+IF(Settings!$C$59="Y",$Q40,0))*$T40/$M40+IF(AND(Settings!$C$58="Y",$T40&gt;=$M40),Settings!$C$22,0),0))</f>
        <v/>
      </c>
      <c r="S40" s="15">
        <f>IF($A40="","",$N40+$O40+$P40+$Q40-$R40)</f>
        <v/>
      </c>
      <c r="T40" s="15">
        <f>IF($A40="","",IF($J40="Y",IF($K40="",$M40,MIN($K40,$M40)),0))</f>
        <v/>
      </c>
      <c r="U40" s="15">
        <f>IF($A40="","",IF($D40="",1,$D40)*IFERROR(INDEX(Products!$F$5:$F$54,MATCH($C40,Products!$A$5:$A$54,0)),0))</f>
        <v/>
      </c>
      <c r="V40" s="27">
        <f>IF($A40="","",$M40-$T40-$S40-$U40-$G40)</f>
        <v/>
      </c>
      <c r="W40" s="31">
        <f>IF($A40="","",IF($M40-$T40&gt;0,$V40/($M40-$T40),""))</f>
        <v/>
      </c>
      <c r="X40" s="35">
        <f>IF($A40="","",DATE(YEAR($A40),MONTH($A40),1))</f>
        <v/>
      </c>
    </row>
    <row r="41">
      <c r="A41" s="18" t="n"/>
      <c r="B41" s="13" t="n"/>
      <c r="C41" s="13" t="n"/>
      <c r="D41" s="26" t="n"/>
      <c r="E41" s="12" t="n"/>
      <c r="F41" s="12" t="n"/>
      <c r="G41" s="12" t="n"/>
      <c r="H41" s="12" t="n"/>
      <c r="I41" s="13" t="n"/>
      <c r="J41" s="13" t="n"/>
      <c r="K41" s="12" t="n"/>
      <c r="L41" s="13" t="n"/>
      <c r="M41" s="15">
        <f>IF($A41="","",IF($D41="",1,$D41)*$E41+$F41-$H41)</f>
        <v/>
      </c>
      <c r="N41" s="15">
        <f>IF($A41="","",IF($B41="Etsy",IF($D41="",1,$D41)*Settings!$C$19,0))</f>
        <v/>
      </c>
      <c r="O41" s="15">
        <f>IF($A41="","",IF($B41="Etsy",Settings!$C$20*($M41+IF(Settings!$C$54="Y",0,$H41)),0))</f>
        <v/>
      </c>
      <c r="P41" s="15">
        <f>IF($A41="","",IF($B41="Etsy",Settings!$C$21*$M41*(1+Settings!$C$55)+Settings!$C$22,IF($B41="Shopify",Settings!$C$14*$M41+Settings!$C$15,0)))</f>
        <v/>
      </c>
      <c r="Q41" s="15">
        <f>IF($A41="","",IF(AND($B41="Etsy",$I41="Y"),MIN(Settings!$C$12*($M41+IF(Settings!$C$54="Y",0,$H41)),Settings!$C$25),0))</f>
        <v/>
      </c>
      <c r="R41" s="15">
        <f>IF($A41="","",IF(AND($B41="Etsy",$J41="Y",$L41="Y",$M41&gt;0),($O41+Settings!$C$21*$M41*(1+Settings!$C$55)+IF(Settings!$C$59="Y",$Q41,0))*$T41/$M41+IF(AND(Settings!$C$58="Y",$T41&gt;=$M41),Settings!$C$22,0),0))</f>
        <v/>
      </c>
      <c r="S41" s="15">
        <f>IF($A41="","",$N41+$O41+$P41+$Q41-$R41)</f>
        <v/>
      </c>
      <c r="T41" s="15">
        <f>IF($A41="","",IF($J41="Y",IF($K41="",$M41,MIN($K41,$M41)),0))</f>
        <v/>
      </c>
      <c r="U41" s="15">
        <f>IF($A41="","",IF($D41="",1,$D41)*IFERROR(INDEX(Products!$F$5:$F$54,MATCH($C41,Products!$A$5:$A$54,0)),0))</f>
        <v/>
      </c>
      <c r="V41" s="27">
        <f>IF($A41="","",$M41-$T41-$S41-$U41-$G41)</f>
        <v/>
      </c>
      <c r="W41" s="31">
        <f>IF($A41="","",IF($M41-$T41&gt;0,$V41/($M41-$T41),""))</f>
        <v/>
      </c>
      <c r="X41" s="35">
        <f>IF($A41="","",DATE(YEAR($A41),MONTH($A41),1))</f>
        <v/>
      </c>
    </row>
    <row r="42">
      <c r="A42" s="18" t="n"/>
      <c r="B42" s="13" t="n"/>
      <c r="C42" s="13" t="n"/>
      <c r="D42" s="26" t="n"/>
      <c r="E42" s="12" t="n"/>
      <c r="F42" s="12" t="n"/>
      <c r="G42" s="12" t="n"/>
      <c r="H42" s="12" t="n"/>
      <c r="I42" s="13" t="n"/>
      <c r="J42" s="13" t="n"/>
      <c r="K42" s="12" t="n"/>
      <c r="L42" s="13" t="n"/>
      <c r="M42" s="15">
        <f>IF($A42="","",IF($D42="",1,$D42)*$E42+$F42-$H42)</f>
        <v/>
      </c>
      <c r="N42" s="15">
        <f>IF($A42="","",IF($B42="Etsy",IF($D42="",1,$D42)*Settings!$C$19,0))</f>
        <v/>
      </c>
      <c r="O42" s="15">
        <f>IF($A42="","",IF($B42="Etsy",Settings!$C$20*($M42+IF(Settings!$C$54="Y",0,$H42)),0))</f>
        <v/>
      </c>
      <c r="P42" s="15">
        <f>IF($A42="","",IF($B42="Etsy",Settings!$C$21*$M42*(1+Settings!$C$55)+Settings!$C$22,IF($B42="Shopify",Settings!$C$14*$M42+Settings!$C$15,0)))</f>
        <v/>
      </c>
      <c r="Q42" s="15">
        <f>IF($A42="","",IF(AND($B42="Etsy",$I42="Y"),MIN(Settings!$C$12*($M42+IF(Settings!$C$54="Y",0,$H42)),Settings!$C$25),0))</f>
        <v/>
      </c>
      <c r="R42" s="15">
        <f>IF($A42="","",IF(AND($B42="Etsy",$J42="Y",$L42="Y",$M42&gt;0),($O42+Settings!$C$21*$M42*(1+Settings!$C$55)+IF(Settings!$C$59="Y",$Q42,0))*$T42/$M42+IF(AND(Settings!$C$58="Y",$T42&gt;=$M42),Settings!$C$22,0),0))</f>
        <v/>
      </c>
      <c r="S42" s="15">
        <f>IF($A42="","",$N42+$O42+$P42+$Q42-$R42)</f>
        <v/>
      </c>
      <c r="T42" s="15">
        <f>IF($A42="","",IF($J42="Y",IF($K42="",$M42,MIN($K42,$M42)),0))</f>
        <v/>
      </c>
      <c r="U42" s="15">
        <f>IF($A42="","",IF($D42="",1,$D42)*IFERROR(INDEX(Products!$F$5:$F$54,MATCH($C42,Products!$A$5:$A$54,0)),0))</f>
        <v/>
      </c>
      <c r="V42" s="27">
        <f>IF($A42="","",$M42-$T42-$S42-$U42-$G42)</f>
        <v/>
      </c>
      <c r="W42" s="31">
        <f>IF($A42="","",IF($M42-$T42&gt;0,$V42/($M42-$T42),""))</f>
        <v/>
      </c>
      <c r="X42" s="35">
        <f>IF($A42="","",DATE(YEAR($A42),MONTH($A42),1))</f>
        <v/>
      </c>
    </row>
    <row r="43">
      <c r="A43" s="18" t="n"/>
      <c r="B43" s="13" t="n"/>
      <c r="C43" s="13" t="n"/>
      <c r="D43" s="26" t="n"/>
      <c r="E43" s="12" t="n"/>
      <c r="F43" s="12" t="n"/>
      <c r="G43" s="12" t="n"/>
      <c r="H43" s="12" t="n"/>
      <c r="I43" s="13" t="n"/>
      <c r="J43" s="13" t="n"/>
      <c r="K43" s="12" t="n"/>
      <c r="L43" s="13" t="n"/>
      <c r="M43" s="15">
        <f>IF($A43="","",IF($D43="",1,$D43)*$E43+$F43-$H43)</f>
        <v/>
      </c>
      <c r="N43" s="15">
        <f>IF($A43="","",IF($B43="Etsy",IF($D43="",1,$D43)*Settings!$C$19,0))</f>
        <v/>
      </c>
      <c r="O43" s="15">
        <f>IF($A43="","",IF($B43="Etsy",Settings!$C$20*($M43+IF(Settings!$C$54="Y",0,$H43)),0))</f>
        <v/>
      </c>
      <c r="P43" s="15">
        <f>IF($A43="","",IF($B43="Etsy",Settings!$C$21*$M43*(1+Settings!$C$55)+Settings!$C$22,IF($B43="Shopify",Settings!$C$14*$M43+Settings!$C$15,0)))</f>
        <v/>
      </c>
      <c r="Q43" s="15">
        <f>IF($A43="","",IF(AND($B43="Etsy",$I43="Y"),MIN(Settings!$C$12*($M43+IF(Settings!$C$54="Y",0,$H43)),Settings!$C$25),0))</f>
        <v/>
      </c>
      <c r="R43" s="15">
        <f>IF($A43="","",IF(AND($B43="Etsy",$J43="Y",$L43="Y",$M43&gt;0),($O43+Settings!$C$21*$M43*(1+Settings!$C$55)+IF(Settings!$C$59="Y",$Q43,0))*$T43/$M43+IF(AND(Settings!$C$58="Y",$T43&gt;=$M43),Settings!$C$22,0),0))</f>
        <v/>
      </c>
      <c r="S43" s="15">
        <f>IF($A43="","",$N43+$O43+$P43+$Q43-$R43)</f>
        <v/>
      </c>
      <c r="T43" s="15">
        <f>IF($A43="","",IF($J43="Y",IF($K43="",$M43,MIN($K43,$M43)),0))</f>
        <v/>
      </c>
      <c r="U43" s="15">
        <f>IF($A43="","",IF($D43="",1,$D43)*IFERROR(INDEX(Products!$F$5:$F$54,MATCH($C43,Products!$A$5:$A$54,0)),0))</f>
        <v/>
      </c>
      <c r="V43" s="27">
        <f>IF($A43="","",$M43-$T43-$S43-$U43-$G43)</f>
        <v/>
      </c>
      <c r="W43" s="31">
        <f>IF($A43="","",IF($M43-$T43&gt;0,$V43/($M43-$T43),""))</f>
        <v/>
      </c>
      <c r="X43" s="35">
        <f>IF($A43="","",DATE(YEAR($A43),MONTH($A43),1))</f>
        <v/>
      </c>
    </row>
    <row r="44">
      <c r="A44" s="18" t="n"/>
      <c r="B44" s="13" t="n"/>
      <c r="C44" s="13" t="n"/>
      <c r="D44" s="26" t="n"/>
      <c r="E44" s="12" t="n"/>
      <c r="F44" s="12" t="n"/>
      <c r="G44" s="12" t="n"/>
      <c r="H44" s="12" t="n"/>
      <c r="I44" s="13" t="n"/>
      <c r="J44" s="13" t="n"/>
      <c r="K44" s="12" t="n"/>
      <c r="L44" s="13" t="n"/>
      <c r="M44" s="15">
        <f>IF($A44="","",IF($D44="",1,$D44)*$E44+$F44-$H44)</f>
        <v/>
      </c>
      <c r="N44" s="15">
        <f>IF($A44="","",IF($B44="Etsy",IF($D44="",1,$D44)*Settings!$C$19,0))</f>
        <v/>
      </c>
      <c r="O44" s="15">
        <f>IF($A44="","",IF($B44="Etsy",Settings!$C$20*($M44+IF(Settings!$C$54="Y",0,$H44)),0))</f>
        <v/>
      </c>
      <c r="P44" s="15">
        <f>IF($A44="","",IF($B44="Etsy",Settings!$C$21*$M44*(1+Settings!$C$55)+Settings!$C$22,IF($B44="Shopify",Settings!$C$14*$M44+Settings!$C$15,0)))</f>
        <v/>
      </c>
      <c r="Q44" s="15">
        <f>IF($A44="","",IF(AND($B44="Etsy",$I44="Y"),MIN(Settings!$C$12*($M44+IF(Settings!$C$54="Y",0,$H44)),Settings!$C$25),0))</f>
        <v/>
      </c>
      <c r="R44" s="15">
        <f>IF($A44="","",IF(AND($B44="Etsy",$J44="Y",$L44="Y",$M44&gt;0),($O44+Settings!$C$21*$M44*(1+Settings!$C$55)+IF(Settings!$C$59="Y",$Q44,0))*$T44/$M44+IF(AND(Settings!$C$58="Y",$T44&gt;=$M44),Settings!$C$22,0),0))</f>
        <v/>
      </c>
      <c r="S44" s="15">
        <f>IF($A44="","",$N44+$O44+$P44+$Q44-$R44)</f>
        <v/>
      </c>
      <c r="T44" s="15">
        <f>IF($A44="","",IF($J44="Y",IF($K44="",$M44,MIN($K44,$M44)),0))</f>
        <v/>
      </c>
      <c r="U44" s="15">
        <f>IF($A44="","",IF($D44="",1,$D44)*IFERROR(INDEX(Products!$F$5:$F$54,MATCH($C44,Products!$A$5:$A$54,0)),0))</f>
        <v/>
      </c>
      <c r="V44" s="27">
        <f>IF($A44="","",$M44-$T44-$S44-$U44-$G44)</f>
        <v/>
      </c>
      <c r="W44" s="31">
        <f>IF($A44="","",IF($M44-$T44&gt;0,$V44/($M44-$T44),""))</f>
        <v/>
      </c>
      <c r="X44" s="35">
        <f>IF($A44="","",DATE(YEAR($A44),MONTH($A44),1))</f>
        <v/>
      </c>
    </row>
    <row r="45">
      <c r="A45" s="18" t="n"/>
      <c r="B45" s="13" t="n"/>
      <c r="C45" s="13" t="n"/>
      <c r="D45" s="26" t="n"/>
      <c r="E45" s="12" t="n"/>
      <c r="F45" s="12" t="n"/>
      <c r="G45" s="12" t="n"/>
      <c r="H45" s="12" t="n"/>
      <c r="I45" s="13" t="n"/>
      <c r="J45" s="13" t="n"/>
      <c r="K45" s="12" t="n"/>
      <c r="L45" s="13" t="n"/>
      <c r="M45" s="15">
        <f>IF($A45="","",IF($D45="",1,$D45)*$E45+$F45-$H45)</f>
        <v/>
      </c>
      <c r="N45" s="15">
        <f>IF($A45="","",IF($B45="Etsy",IF($D45="",1,$D45)*Settings!$C$19,0))</f>
        <v/>
      </c>
      <c r="O45" s="15">
        <f>IF($A45="","",IF($B45="Etsy",Settings!$C$20*($M45+IF(Settings!$C$54="Y",0,$H45)),0))</f>
        <v/>
      </c>
      <c r="P45" s="15">
        <f>IF($A45="","",IF($B45="Etsy",Settings!$C$21*$M45*(1+Settings!$C$55)+Settings!$C$22,IF($B45="Shopify",Settings!$C$14*$M45+Settings!$C$15,0)))</f>
        <v/>
      </c>
      <c r="Q45" s="15">
        <f>IF($A45="","",IF(AND($B45="Etsy",$I45="Y"),MIN(Settings!$C$12*($M45+IF(Settings!$C$54="Y",0,$H45)),Settings!$C$25),0))</f>
        <v/>
      </c>
      <c r="R45" s="15">
        <f>IF($A45="","",IF(AND($B45="Etsy",$J45="Y",$L45="Y",$M45&gt;0),($O45+Settings!$C$21*$M45*(1+Settings!$C$55)+IF(Settings!$C$59="Y",$Q45,0))*$T45/$M45+IF(AND(Settings!$C$58="Y",$T45&gt;=$M45),Settings!$C$22,0),0))</f>
        <v/>
      </c>
      <c r="S45" s="15">
        <f>IF($A45="","",$N45+$O45+$P45+$Q45-$R45)</f>
        <v/>
      </c>
      <c r="T45" s="15">
        <f>IF($A45="","",IF($J45="Y",IF($K45="",$M45,MIN($K45,$M45)),0))</f>
        <v/>
      </c>
      <c r="U45" s="15">
        <f>IF($A45="","",IF($D45="",1,$D45)*IFERROR(INDEX(Products!$F$5:$F$54,MATCH($C45,Products!$A$5:$A$54,0)),0))</f>
        <v/>
      </c>
      <c r="V45" s="27">
        <f>IF($A45="","",$M45-$T45-$S45-$U45-$G45)</f>
        <v/>
      </c>
      <c r="W45" s="31">
        <f>IF($A45="","",IF($M45-$T45&gt;0,$V45/($M45-$T45),""))</f>
        <v/>
      </c>
      <c r="X45" s="35">
        <f>IF($A45="","",DATE(YEAR($A45),MONTH($A45),1))</f>
        <v/>
      </c>
    </row>
    <row r="46">
      <c r="A46" s="18" t="n"/>
      <c r="B46" s="13" t="n"/>
      <c r="C46" s="13" t="n"/>
      <c r="D46" s="26" t="n"/>
      <c r="E46" s="12" t="n"/>
      <c r="F46" s="12" t="n"/>
      <c r="G46" s="12" t="n"/>
      <c r="H46" s="12" t="n"/>
      <c r="I46" s="13" t="n"/>
      <c r="J46" s="13" t="n"/>
      <c r="K46" s="12" t="n"/>
      <c r="L46" s="13" t="n"/>
      <c r="M46" s="15">
        <f>IF($A46="","",IF($D46="",1,$D46)*$E46+$F46-$H46)</f>
        <v/>
      </c>
      <c r="N46" s="15">
        <f>IF($A46="","",IF($B46="Etsy",IF($D46="",1,$D46)*Settings!$C$19,0))</f>
        <v/>
      </c>
      <c r="O46" s="15">
        <f>IF($A46="","",IF($B46="Etsy",Settings!$C$20*($M46+IF(Settings!$C$54="Y",0,$H46)),0))</f>
        <v/>
      </c>
      <c r="P46" s="15">
        <f>IF($A46="","",IF($B46="Etsy",Settings!$C$21*$M46*(1+Settings!$C$55)+Settings!$C$22,IF($B46="Shopify",Settings!$C$14*$M46+Settings!$C$15,0)))</f>
        <v/>
      </c>
      <c r="Q46" s="15">
        <f>IF($A46="","",IF(AND($B46="Etsy",$I46="Y"),MIN(Settings!$C$12*($M46+IF(Settings!$C$54="Y",0,$H46)),Settings!$C$25),0))</f>
        <v/>
      </c>
      <c r="R46" s="15">
        <f>IF($A46="","",IF(AND($B46="Etsy",$J46="Y",$L46="Y",$M46&gt;0),($O46+Settings!$C$21*$M46*(1+Settings!$C$55)+IF(Settings!$C$59="Y",$Q46,0))*$T46/$M46+IF(AND(Settings!$C$58="Y",$T46&gt;=$M46),Settings!$C$22,0),0))</f>
        <v/>
      </c>
      <c r="S46" s="15">
        <f>IF($A46="","",$N46+$O46+$P46+$Q46-$R46)</f>
        <v/>
      </c>
      <c r="T46" s="15">
        <f>IF($A46="","",IF($J46="Y",IF($K46="",$M46,MIN($K46,$M46)),0))</f>
        <v/>
      </c>
      <c r="U46" s="15">
        <f>IF($A46="","",IF($D46="",1,$D46)*IFERROR(INDEX(Products!$F$5:$F$54,MATCH($C46,Products!$A$5:$A$54,0)),0))</f>
        <v/>
      </c>
      <c r="V46" s="27">
        <f>IF($A46="","",$M46-$T46-$S46-$U46-$G46)</f>
        <v/>
      </c>
      <c r="W46" s="31">
        <f>IF($A46="","",IF($M46-$T46&gt;0,$V46/($M46-$T46),""))</f>
        <v/>
      </c>
      <c r="X46" s="35">
        <f>IF($A46="","",DATE(YEAR($A46),MONTH($A46),1))</f>
        <v/>
      </c>
    </row>
    <row r="47">
      <c r="A47" s="18" t="n"/>
      <c r="B47" s="13" t="n"/>
      <c r="C47" s="13" t="n"/>
      <c r="D47" s="26" t="n"/>
      <c r="E47" s="12" t="n"/>
      <c r="F47" s="12" t="n"/>
      <c r="G47" s="12" t="n"/>
      <c r="H47" s="12" t="n"/>
      <c r="I47" s="13" t="n"/>
      <c r="J47" s="13" t="n"/>
      <c r="K47" s="12" t="n"/>
      <c r="L47" s="13" t="n"/>
      <c r="M47" s="15">
        <f>IF($A47="","",IF($D47="",1,$D47)*$E47+$F47-$H47)</f>
        <v/>
      </c>
      <c r="N47" s="15">
        <f>IF($A47="","",IF($B47="Etsy",IF($D47="",1,$D47)*Settings!$C$19,0))</f>
        <v/>
      </c>
      <c r="O47" s="15">
        <f>IF($A47="","",IF($B47="Etsy",Settings!$C$20*($M47+IF(Settings!$C$54="Y",0,$H47)),0))</f>
        <v/>
      </c>
      <c r="P47" s="15">
        <f>IF($A47="","",IF($B47="Etsy",Settings!$C$21*$M47*(1+Settings!$C$55)+Settings!$C$22,IF($B47="Shopify",Settings!$C$14*$M47+Settings!$C$15,0)))</f>
        <v/>
      </c>
      <c r="Q47" s="15">
        <f>IF($A47="","",IF(AND($B47="Etsy",$I47="Y"),MIN(Settings!$C$12*($M47+IF(Settings!$C$54="Y",0,$H47)),Settings!$C$25),0))</f>
        <v/>
      </c>
      <c r="R47" s="15">
        <f>IF($A47="","",IF(AND($B47="Etsy",$J47="Y",$L47="Y",$M47&gt;0),($O47+Settings!$C$21*$M47*(1+Settings!$C$55)+IF(Settings!$C$59="Y",$Q47,0))*$T47/$M47+IF(AND(Settings!$C$58="Y",$T47&gt;=$M47),Settings!$C$22,0),0))</f>
        <v/>
      </c>
      <c r="S47" s="15">
        <f>IF($A47="","",$N47+$O47+$P47+$Q47-$R47)</f>
        <v/>
      </c>
      <c r="T47" s="15">
        <f>IF($A47="","",IF($J47="Y",IF($K47="",$M47,MIN($K47,$M47)),0))</f>
        <v/>
      </c>
      <c r="U47" s="15">
        <f>IF($A47="","",IF($D47="",1,$D47)*IFERROR(INDEX(Products!$F$5:$F$54,MATCH($C47,Products!$A$5:$A$54,0)),0))</f>
        <v/>
      </c>
      <c r="V47" s="27">
        <f>IF($A47="","",$M47-$T47-$S47-$U47-$G47)</f>
        <v/>
      </c>
      <c r="W47" s="31">
        <f>IF($A47="","",IF($M47-$T47&gt;0,$V47/($M47-$T47),""))</f>
        <v/>
      </c>
      <c r="X47" s="35">
        <f>IF($A47="","",DATE(YEAR($A47),MONTH($A47),1))</f>
        <v/>
      </c>
    </row>
    <row r="48">
      <c r="A48" s="18" t="n"/>
      <c r="B48" s="13" t="n"/>
      <c r="C48" s="13" t="n"/>
      <c r="D48" s="26" t="n"/>
      <c r="E48" s="12" t="n"/>
      <c r="F48" s="12" t="n"/>
      <c r="G48" s="12" t="n"/>
      <c r="H48" s="12" t="n"/>
      <c r="I48" s="13" t="n"/>
      <c r="J48" s="13" t="n"/>
      <c r="K48" s="12" t="n"/>
      <c r="L48" s="13" t="n"/>
      <c r="M48" s="15">
        <f>IF($A48="","",IF($D48="",1,$D48)*$E48+$F48-$H48)</f>
        <v/>
      </c>
      <c r="N48" s="15">
        <f>IF($A48="","",IF($B48="Etsy",IF($D48="",1,$D48)*Settings!$C$19,0))</f>
        <v/>
      </c>
      <c r="O48" s="15">
        <f>IF($A48="","",IF($B48="Etsy",Settings!$C$20*($M48+IF(Settings!$C$54="Y",0,$H48)),0))</f>
        <v/>
      </c>
      <c r="P48" s="15">
        <f>IF($A48="","",IF($B48="Etsy",Settings!$C$21*$M48*(1+Settings!$C$55)+Settings!$C$22,IF($B48="Shopify",Settings!$C$14*$M48+Settings!$C$15,0)))</f>
        <v/>
      </c>
      <c r="Q48" s="15">
        <f>IF($A48="","",IF(AND($B48="Etsy",$I48="Y"),MIN(Settings!$C$12*($M48+IF(Settings!$C$54="Y",0,$H48)),Settings!$C$25),0))</f>
        <v/>
      </c>
      <c r="R48" s="15">
        <f>IF($A48="","",IF(AND($B48="Etsy",$J48="Y",$L48="Y",$M48&gt;0),($O48+Settings!$C$21*$M48*(1+Settings!$C$55)+IF(Settings!$C$59="Y",$Q48,0))*$T48/$M48+IF(AND(Settings!$C$58="Y",$T48&gt;=$M48),Settings!$C$22,0),0))</f>
        <v/>
      </c>
      <c r="S48" s="15">
        <f>IF($A48="","",$N48+$O48+$P48+$Q48-$R48)</f>
        <v/>
      </c>
      <c r="T48" s="15">
        <f>IF($A48="","",IF($J48="Y",IF($K48="",$M48,MIN($K48,$M48)),0))</f>
        <v/>
      </c>
      <c r="U48" s="15">
        <f>IF($A48="","",IF($D48="",1,$D48)*IFERROR(INDEX(Products!$F$5:$F$54,MATCH($C48,Products!$A$5:$A$54,0)),0))</f>
        <v/>
      </c>
      <c r="V48" s="27">
        <f>IF($A48="","",$M48-$T48-$S48-$U48-$G48)</f>
        <v/>
      </c>
      <c r="W48" s="31">
        <f>IF($A48="","",IF($M48-$T48&gt;0,$V48/($M48-$T48),""))</f>
        <v/>
      </c>
      <c r="X48" s="35">
        <f>IF($A48="","",DATE(YEAR($A48),MONTH($A48),1))</f>
        <v/>
      </c>
    </row>
    <row r="49">
      <c r="A49" s="18" t="n"/>
      <c r="B49" s="13" t="n"/>
      <c r="C49" s="13" t="n"/>
      <c r="D49" s="26" t="n"/>
      <c r="E49" s="12" t="n"/>
      <c r="F49" s="12" t="n"/>
      <c r="G49" s="12" t="n"/>
      <c r="H49" s="12" t="n"/>
      <c r="I49" s="13" t="n"/>
      <c r="J49" s="13" t="n"/>
      <c r="K49" s="12" t="n"/>
      <c r="L49" s="13" t="n"/>
      <c r="M49" s="15">
        <f>IF($A49="","",IF($D49="",1,$D49)*$E49+$F49-$H49)</f>
        <v/>
      </c>
      <c r="N49" s="15">
        <f>IF($A49="","",IF($B49="Etsy",IF($D49="",1,$D49)*Settings!$C$19,0))</f>
        <v/>
      </c>
      <c r="O49" s="15">
        <f>IF($A49="","",IF($B49="Etsy",Settings!$C$20*($M49+IF(Settings!$C$54="Y",0,$H49)),0))</f>
        <v/>
      </c>
      <c r="P49" s="15">
        <f>IF($A49="","",IF($B49="Etsy",Settings!$C$21*$M49*(1+Settings!$C$55)+Settings!$C$22,IF($B49="Shopify",Settings!$C$14*$M49+Settings!$C$15,0)))</f>
        <v/>
      </c>
      <c r="Q49" s="15">
        <f>IF($A49="","",IF(AND($B49="Etsy",$I49="Y"),MIN(Settings!$C$12*($M49+IF(Settings!$C$54="Y",0,$H49)),Settings!$C$25),0))</f>
        <v/>
      </c>
      <c r="R49" s="15">
        <f>IF($A49="","",IF(AND($B49="Etsy",$J49="Y",$L49="Y",$M49&gt;0),($O49+Settings!$C$21*$M49*(1+Settings!$C$55)+IF(Settings!$C$59="Y",$Q49,0))*$T49/$M49+IF(AND(Settings!$C$58="Y",$T49&gt;=$M49),Settings!$C$22,0),0))</f>
        <v/>
      </c>
      <c r="S49" s="15">
        <f>IF($A49="","",$N49+$O49+$P49+$Q49-$R49)</f>
        <v/>
      </c>
      <c r="T49" s="15">
        <f>IF($A49="","",IF($J49="Y",IF($K49="",$M49,MIN($K49,$M49)),0))</f>
        <v/>
      </c>
      <c r="U49" s="15">
        <f>IF($A49="","",IF($D49="",1,$D49)*IFERROR(INDEX(Products!$F$5:$F$54,MATCH($C49,Products!$A$5:$A$54,0)),0))</f>
        <v/>
      </c>
      <c r="V49" s="27">
        <f>IF($A49="","",$M49-$T49-$S49-$U49-$G49)</f>
        <v/>
      </c>
      <c r="W49" s="31">
        <f>IF($A49="","",IF($M49-$T49&gt;0,$V49/($M49-$T49),""))</f>
        <v/>
      </c>
      <c r="X49" s="35">
        <f>IF($A49="","",DATE(YEAR($A49),MONTH($A49),1))</f>
        <v/>
      </c>
    </row>
    <row r="50">
      <c r="A50" s="18" t="n"/>
      <c r="B50" s="13" t="n"/>
      <c r="C50" s="13" t="n"/>
      <c r="D50" s="26" t="n"/>
      <c r="E50" s="12" t="n"/>
      <c r="F50" s="12" t="n"/>
      <c r="G50" s="12" t="n"/>
      <c r="H50" s="12" t="n"/>
      <c r="I50" s="13" t="n"/>
      <c r="J50" s="13" t="n"/>
      <c r="K50" s="12" t="n"/>
      <c r="L50" s="13" t="n"/>
      <c r="M50" s="15">
        <f>IF($A50="","",IF($D50="",1,$D50)*$E50+$F50-$H50)</f>
        <v/>
      </c>
      <c r="N50" s="15">
        <f>IF($A50="","",IF($B50="Etsy",IF($D50="",1,$D50)*Settings!$C$19,0))</f>
        <v/>
      </c>
      <c r="O50" s="15">
        <f>IF($A50="","",IF($B50="Etsy",Settings!$C$20*($M50+IF(Settings!$C$54="Y",0,$H50)),0))</f>
        <v/>
      </c>
      <c r="P50" s="15">
        <f>IF($A50="","",IF($B50="Etsy",Settings!$C$21*$M50*(1+Settings!$C$55)+Settings!$C$22,IF($B50="Shopify",Settings!$C$14*$M50+Settings!$C$15,0)))</f>
        <v/>
      </c>
      <c r="Q50" s="15">
        <f>IF($A50="","",IF(AND($B50="Etsy",$I50="Y"),MIN(Settings!$C$12*($M50+IF(Settings!$C$54="Y",0,$H50)),Settings!$C$25),0))</f>
        <v/>
      </c>
      <c r="R50" s="15">
        <f>IF($A50="","",IF(AND($B50="Etsy",$J50="Y",$L50="Y",$M50&gt;0),($O50+Settings!$C$21*$M50*(1+Settings!$C$55)+IF(Settings!$C$59="Y",$Q50,0))*$T50/$M50+IF(AND(Settings!$C$58="Y",$T50&gt;=$M50),Settings!$C$22,0),0))</f>
        <v/>
      </c>
      <c r="S50" s="15">
        <f>IF($A50="","",$N50+$O50+$P50+$Q50-$R50)</f>
        <v/>
      </c>
      <c r="T50" s="15">
        <f>IF($A50="","",IF($J50="Y",IF($K50="",$M50,MIN($K50,$M50)),0))</f>
        <v/>
      </c>
      <c r="U50" s="15">
        <f>IF($A50="","",IF($D50="",1,$D50)*IFERROR(INDEX(Products!$F$5:$F$54,MATCH($C50,Products!$A$5:$A$54,0)),0))</f>
        <v/>
      </c>
      <c r="V50" s="27">
        <f>IF($A50="","",$M50-$T50-$S50-$U50-$G50)</f>
        <v/>
      </c>
      <c r="W50" s="31">
        <f>IF($A50="","",IF($M50-$T50&gt;0,$V50/($M50-$T50),""))</f>
        <v/>
      </c>
      <c r="X50" s="35">
        <f>IF($A50="","",DATE(YEAR($A50),MONTH($A50),1))</f>
        <v/>
      </c>
    </row>
    <row r="51">
      <c r="A51" s="18" t="n"/>
      <c r="B51" s="13" t="n"/>
      <c r="C51" s="13" t="n"/>
      <c r="D51" s="26" t="n"/>
      <c r="E51" s="12" t="n"/>
      <c r="F51" s="12" t="n"/>
      <c r="G51" s="12" t="n"/>
      <c r="H51" s="12" t="n"/>
      <c r="I51" s="13" t="n"/>
      <c r="J51" s="13" t="n"/>
      <c r="K51" s="12" t="n"/>
      <c r="L51" s="13" t="n"/>
      <c r="M51" s="15">
        <f>IF($A51="","",IF($D51="",1,$D51)*$E51+$F51-$H51)</f>
        <v/>
      </c>
      <c r="N51" s="15">
        <f>IF($A51="","",IF($B51="Etsy",IF($D51="",1,$D51)*Settings!$C$19,0))</f>
        <v/>
      </c>
      <c r="O51" s="15">
        <f>IF($A51="","",IF($B51="Etsy",Settings!$C$20*($M51+IF(Settings!$C$54="Y",0,$H51)),0))</f>
        <v/>
      </c>
      <c r="P51" s="15">
        <f>IF($A51="","",IF($B51="Etsy",Settings!$C$21*$M51*(1+Settings!$C$55)+Settings!$C$22,IF($B51="Shopify",Settings!$C$14*$M51+Settings!$C$15,0)))</f>
        <v/>
      </c>
      <c r="Q51" s="15">
        <f>IF($A51="","",IF(AND($B51="Etsy",$I51="Y"),MIN(Settings!$C$12*($M51+IF(Settings!$C$54="Y",0,$H51)),Settings!$C$25),0))</f>
        <v/>
      </c>
      <c r="R51" s="15">
        <f>IF($A51="","",IF(AND($B51="Etsy",$J51="Y",$L51="Y",$M51&gt;0),($O51+Settings!$C$21*$M51*(1+Settings!$C$55)+IF(Settings!$C$59="Y",$Q51,0))*$T51/$M51+IF(AND(Settings!$C$58="Y",$T51&gt;=$M51),Settings!$C$22,0),0))</f>
        <v/>
      </c>
      <c r="S51" s="15">
        <f>IF($A51="","",$N51+$O51+$P51+$Q51-$R51)</f>
        <v/>
      </c>
      <c r="T51" s="15">
        <f>IF($A51="","",IF($J51="Y",IF($K51="",$M51,MIN($K51,$M51)),0))</f>
        <v/>
      </c>
      <c r="U51" s="15">
        <f>IF($A51="","",IF($D51="",1,$D51)*IFERROR(INDEX(Products!$F$5:$F$54,MATCH($C51,Products!$A$5:$A$54,0)),0))</f>
        <v/>
      </c>
      <c r="V51" s="27">
        <f>IF($A51="","",$M51-$T51-$S51-$U51-$G51)</f>
        <v/>
      </c>
      <c r="W51" s="31">
        <f>IF($A51="","",IF($M51-$T51&gt;0,$V51/($M51-$T51),""))</f>
        <v/>
      </c>
      <c r="X51" s="35">
        <f>IF($A51="","",DATE(YEAR($A51),MONTH($A51),1))</f>
        <v/>
      </c>
    </row>
    <row r="52">
      <c r="A52" s="18" t="n"/>
      <c r="B52" s="13" t="n"/>
      <c r="C52" s="13" t="n"/>
      <c r="D52" s="26" t="n"/>
      <c r="E52" s="12" t="n"/>
      <c r="F52" s="12" t="n"/>
      <c r="G52" s="12" t="n"/>
      <c r="H52" s="12" t="n"/>
      <c r="I52" s="13" t="n"/>
      <c r="J52" s="13" t="n"/>
      <c r="K52" s="12" t="n"/>
      <c r="L52" s="13" t="n"/>
      <c r="M52" s="15">
        <f>IF($A52="","",IF($D52="",1,$D52)*$E52+$F52-$H52)</f>
        <v/>
      </c>
      <c r="N52" s="15">
        <f>IF($A52="","",IF($B52="Etsy",IF($D52="",1,$D52)*Settings!$C$19,0))</f>
        <v/>
      </c>
      <c r="O52" s="15">
        <f>IF($A52="","",IF($B52="Etsy",Settings!$C$20*($M52+IF(Settings!$C$54="Y",0,$H52)),0))</f>
        <v/>
      </c>
      <c r="P52" s="15">
        <f>IF($A52="","",IF($B52="Etsy",Settings!$C$21*$M52*(1+Settings!$C$55)+Settings!$C$22,IF($B52="Shopify",Settings!$C$14*$M52+Settings!$C$15,0)))</f>
        <v/>
      </c>
      <c r="Q52" s="15">
        <f>IF($A52="","",IF(AND($B52="Etsy",$I52="Y"),MIN(Settings!$C$12*($M52+IF(Settings!$C$54="Y",0,$H52)),Settings!$C$25),0))</f>
        <v/>
      </c>
      <c r="R52" s="15">
        <f>IF($A52="","",IF(AND($B52="Etsy",$J52="Y",$L52="Y",$M52&gt;0),($O52+Settings!$C$21*$M52*(1+Settings!$C$55)+IF(Settings!$C$59="Y",$Q52,0))*$T52/$M52+IF(AND(Settings!$C$58="Y",$T52&gt;=$M52),Settings!$C$22,0),0))</f>
        <v/>
      </c>
      <c r="S52" s="15">
        <f>IF($A52="","",$N52+$O52+$P52+$Q52-$R52)</f>
        <v/>
      </c>
      <c r="T52" s="15">
        <f>IF($A52="","",IF($J52="Y",IF($K52="",$M52,MIN($K52,$M52)),0))</f>
        <v/>
      </c>
      <c r="U52" s="15">
        <f>IF($A52="","",IF($D52="",1,$D52)*IFERROR(INDEX(Products!$F$5:$F$54,MATCH($C52,Products!$A$5:$A$54,0)),0))</f>
        <v/>
      </c>
      <c r="V52" s="27">
        <f>IF($A52="","",$M52-$T52-$S52-$U52-$G52)</f>
        <v/>
      </c>
      <c r="W52" s="31">
        <f>IF($A52="","",IF($M52-$T52&gt;0,$V52/($M52-$T52),""))</f>
        <v/>
      </c>
      <c r="X52" s="35">
        <f>IF($A52="","",DATE(YEAR($A52),MONTH($A52),1))</f>
        <v/>
      </c>
    </row>
    <row r="53">
      <c r="A53" s="18" t="n"/>
      <c r="B53" s="13" t="n"/>
      <c r="C53" s="13" t="n"/>
      <c r="D53" s="26" t="n"/>
      <c r="E53" s="12" t="n"/>
      <c r="F53" s="12" t="n"/>
      <c r="G53" s="12" t="n"/>
      <c r="H53" s="12" t="n"/>
      <c r="I53" s="13" t="n"/>
      <c r="J53" s="13" t="n"/>
      <c r="K53" s="12" t="n"/>
      <c r="L53" s="13" t="n"/>
      <c r="M53" s="15">
        <f>IF($A53="","",IF($D53="",1,$D53)*$E53+$F53-$H53)</f>
        <v/>
      </c>
      <c r="N53" s="15">
        <f>IF($A53="","",IF($B53="Etsy",IF($D53="",1,$D53)*Settings!$C$19,0))</f>
        <v/>
      </c>
      <c r="O53" s="15">
        <f>IF($A53="","",IF($B53="Etsy",Settings!$C$20*($M53+IF(Settings!$C$54="Y",0,$H53)),0))</f>
        <v/>
      </c>
      <c r="P53" s="15">
        <f>IF($A53="","",IF($B53="Etsy",Settings!$C$21*$M53*(1+Settings!$C$55)+Settings!$C$22,IF($B53="Shopify",Settings!$C$14*$M53+Settings!$C$15,0)))</f>
        <v/>
      </c>
      <c r="Q53" s="15">
        <f>IF($A53="","",IF(AND($B53="Etsy",$I53="Y"),MIN(Settings!$C$12*($M53+IF(Settings!$C$54="Y",0,$H53)),Settings!$C$25),0))</f>
        <v/>
      </c>
      <c r="R53" s="15">
        <f>IF($A53="","",IF(AND($B53="Etsy",$J53="Y",$L53="Y",$M53&gt;0),($O53+Settings!$C$21*$M53*(1+Settings!$C$55)+IF(Settings!$C$59="Y",$Q53,0))*$T53/$M53+IF(AND(Settings!$C$58="Y",$T53&gt;=$M53),Settings!$C$22,0),0))</f>
        <v/>
      </c>
      <c r="S53" s="15">
        <f>IF($A53="","",$N53+$O53+$P53+$Q53-$R53)</f>
        <v/>
      </c>
      <c r="T53" s="15">
        <f>IF($A53="","",IF($J53="Y",IF($K53="",$M53,MIN($K53,$M53)),0))</f>
        <v/>
      </c>
      <c r="U53" s="15">
        <f>IF($A53="","",IF($D53="",1,$D53)*IFERROR(INDEX(Products!$F$5:$F$54,MATCH($C53,Products!$A$5:$A$54,0)),0))</f>
        <v/>
      </c>
      <c r="V53" s="27">
        <f>IF($A53="","",$M53-$T53-$S53-$U53-$G53)</f>
        <v/>
      </c>
      <c r="W53" s="31">
        <f>IF($A53="","",IF($M53-$T53&gt;0,$V53/($M53-$T53),""))</f>
        <v/>
      </c>
      <c r="X53" s="35">
        <f>IF($A53="","",DATE(YEAR($A53),MONTH($A53),1))</f>
        <v/>
      </c>
    </row>
    <row r="54">
      <c r="A54" s="18" t="n"/>
      <c r="B54" s="13" t="n"/>
      <c r="C54" s="13" t="n"/>
      <c r="D54" s="26" t="n"/>
      <c r="E54" s="12" t="n"/>
      <c r="F54" s="12" t="n"/>
      <c r="G54" s="12" t="n"/>
      <c r="H54" s="12" t="n"/>
      <c r="I54" s="13" t="n"/>
      <c r="J54" s="13" t="n"/>
      <c r="K54" s="12" t="n"/>
      <c r="L54" s="13" t="n"/>
      <c r="M54" s="15">
        <f>IF($A54="","",IF($D54="",1,$D54)*$E54+$F54-$H54)</f>
        <v/>
      </c>
      <c r="N54" s="15">
        <f>IF($A54="","",IF($B54="Etsy",IF($D54="",1,$D54)*Settings!$C$19,0))</f>
        <v/>
      </c>
      <c r="O54" s="15">
        <f>IF($A54="","",IF($B54="Etsy",Settings!$C$20*($M54+IF(Settings!$C$54="Y",0,$H54)),0))</f>
        <v/>
      </c>
      <c r="P54" s="15">
        <f>IF($A54="","",IF($B54="Etsy",Settings!$C$21*$M54*(1+Settings!$C$55)+Settings!$C$22,IF($B54="Shopify",Settings!$C$14*$M54+Settings!$C$15,0)))</f>
        <v/>
      </c>
      <c r="Q54" s="15">
        <f>IF($A54="","",IF(AND($B54="Etsy",$I54="Y"),MIN(Settings!$C$12*($M54+IF(Settings!$C$54="Y",0,$H54)),Settings!$C$25),0))</f>
        <v/>
      </c>
      <c r="R54" s="15">
        <f>IF($A54="","",IF(AND($B54="Etsy",$J54="Y",$L54="Y",$M54&gt;0),($O54+Settings!$C$21*$M54*(1+Settings!$C$55)+IF(Settings!$C$59="Y",$Q54,0))*$T54/$M54+IF(AND(Settings!$C$58="Y",$T54&gt;=$M54),Settings!$C$22,0),0))</f>
        <v/>
      </c>
      <c r="S54" s="15">
        <f>IF($A54="","",$N54+$O54+$P54+$Q54-$R54)</f>
        <v/>
      </c>
      <c r="T54" s="15">
        <f>IF($A54="","",IF($J54="Y",IF($K54="",$M54,MIN($K54,$M54)),0))</f>
        <v/>
      </c>
      <c r="U54" s="15">
        <f>IF($A54="","",IF($D54="",1,$D54)*IFERROR(INDEX(Products!$F$5:$F$54,MATCH($C54,Products!$A$5:$A$54,0)),0))</f>
        <v/>
      </c>
      <c r="V54" s="27">
        <f>IF($A54="","",$M54-$T54-$S54-$U54-$G54)</f>
        <v/>
      </c>
      <c r="W54" s="31">
        <f>IF($A54="","",IF($M54-$T54&gt;0,$V54/($M54-$T54),""))</f>
        <v/>
      </c>
      <c r="X54" s="35">
        <f>IF($A54="","",DATE(YEAR($A54),MONTH($A54),1))</f>
        <v/>
      </c>
    </row>
    <row r="55">
      <c r="A55" s="18" t="n"/>
      <c r="B55" s="13" t="n"/>
      <c r="C55" s="13" t="n"/>
      <c r="D55" s="26" t="n"/>
      <c r="E55" s="12" t="n"/>
      <c r="F55" s="12" t="n"/>
      <c r="G55" s="12" t="n"/>
      <c r="H55" s="12" t="n"/>
      <c r="I55" s="13" t="n"/>
      <c r="J55" s="13" t="n"/>
      <c r="K55" s="12" t="n"/>
      <c r="L55" s="13" t="n"/>
      <c r="M55" s="15">
        <f>IF($A55="","",IF($D55="",1,$D55)*$E55+$F55-$H55)</f>
        <v/>
      </c>
      <c r="N55" s="15">
        <f>IF($A55="","",IF($B55="Etsy",IF($D55="",1,$D55)*Settings!$C$19,0))</f>
        <v/>
      </c>
      <c r="O55" s="15">
        <f>IF($A55="","",IF($B55="Etsy",Settings!$C$20*($M55+IF(Settings!$C$54="Y",0,$H55)),0))</f>
        <v/>
      </c>
      <c r="P55" s="15">
        <f>IF($A55="","",IF($B55="Etsy",Settings!$C$21*$M55*(1+Settings!$C$55)+Settings!$C$22,IF($B55="Shopify",Settings!$C$14*$M55+Settings!$C$15,0)))</f>
        <v/>
      </c>
      <c r="Q55" s="15">
        <f>IF($A55="","",IF(AND($B55="Etsy",$I55="Y"),MIN(Settings!$C$12*($M55+IF(Settings!$C$54="Y",0,$H55)),Settings!$C$25),0))</f>
        <v/>
      </c>
      <c r="R55" s="15">
        <f>IF($A55="","",IF(AND($B55="Etsy",$J55="Y",$L55="Y",$M55&gt;0),($O55+Settings!$C$21*$M55*(1+Settings!$C$55)+IF(Settings!$C$59="Y",$Q55,0))*$T55/$M55+IF(AND(Settings!$C$58="Y",$T55&gt;=$M55),Settings!$C$22,0),0))</f>
        <v/>
      </c>
      <c r="S55" s="15">
        <f>IF($A55="","",$N55+$O55+$P55+$Q55-$R55)</f>
        <v/>
      </c>
      <c r="T55" s="15">
        <f>IF($A55="","",IF($J55="Y",IF($K55="",$M55,MIN($K55,$M55)),0))</f>
        <v/>
      </c>
      <c r="U55" s="15">
        <f>IF($A55="","",IF($D55="",1,$D55)*IFERROR(INDEX(Products!$F$5:$F$54,MATCH($C55,Products!$A$5:$A$54,0)),0))</f>
        <v/>
      </c>
      <c r="V55" s="27">
        <f>IF($A55="","",$M55-$T55-$S55-$U55-$G55)</f>
        <v/>
      </c>
      <c r="W55" s="31">
        <f>IF($A55="","",IF($M55-$T55&gt;0,$V55/($M55-$T55),""))</f>
        <v/>
      </c>
      <c r="X55" s="35">
        <f>IF($A55="","",DATE(YEAR($A55),MONTH($A55),1))</f>
        <v/>
      </c>
    </row>
    <row r="56">
      <c r="A56" s="18" t="n"/>
      <c r="B56" s="13" t="n"/>
      <c r="C56" s="13" t="n"/>
      <c r="D56" s="26" t="n"/>
      <c r="E56" s="12" t="n"/>
      <c r="F56" s="12" t="n"/>
      <c r="G56" s="12" t="n"/>
      <c r="H56" s="12" t="n"/>
      <c r="I56" s="13" t="n"/>
      <c r="J56" s="13" t="n"/>
      <c r="K56" s="12" t="n"/>
      <c r="L56" s="13" t="n"/>
      <c r="M56" s="15">
        <f>IF($A56="","",IF($D56="",1,$D56)*$E56+$F56-$H56)</f>
        <v/>
      </c>
      <c r="N56" s="15">
        <f>IF($A56="","",IF($B56="Etsy",IF($D56="",1,$D56)*Settings!$C$19,0))</f>
        <v/>
      </c>
      <c r="O56" s="15">
        <f>IF($A56="","",IF($B56="Etsy",Settings!$C$20*($M56+IF(Settings!$C$54="Y",0,$H56)),0))</f>
        <v/>
      </c>
      <c r="P56" s="15">
        <f>IF($A56="","",IF($B56="Etsy",Settings!$C$21*$M56*(1+Settings!$C$55)+Settings!$C$22,IF($B56="Shopify",Settings!$C$14*$M56+Settings!$C$15,0)))</f>
        <v/>
      </c>
      <c r="Q56" s="15">
        <f>IF($A56="","",IF(AND($B56="Etsy",$I56="Y"),MIN(Settings!$C$12*($M56+IF(Settings!$C$54="Y",0,$H56)),Settings!$C$25),0))</f>
        <v/>
      </c>
      <c r="R56" s="15">
        <f>IF($A56="","",IF(AND($B56="Etsy",$J56="Y",$L56="Y",$M56&gt;0),($O56+Settings!$C$21*$M56*(1+Settings!$C$55)+IF(Settings!$C$59="Y",$Q56,0))*$T56/$M56+IF(AND(Settings!$C$58="Y",$T56&gt;=$M56),Settings!$C$22,0),0))</f>
        <v/>
      </c>
      <c r="S56" s="15">
        <f>IF($A56="","",$N56+$O56+$P56+$Q56-$R56)</f>
        <v/>
      </c>
      <c r="T56" s="15">
        <f>IF($A56="","",IF($J56="Y",IF($K56="",$M56,MIN($K56,$M56)),0))</f>
        <v/>
      </c>
      <c r="U56" s="15">
        <f>IF($A56="","",IF($D56="",1,$D56)*IFERROR(INDEX(Products!$F$5:$F$54,MATCH($C56,Products!$A$5:$A$54,0)),0))</f>
        <v/>
      </c>
      <c r="V56" s="27">
        <f>IF($A56="","",$M56-$T56-$S56-$U56-$G56)</f>
        <v/>
      </c>
      <c r="W56" s="31">
        <f>IF($A56="","",IF($M56-$T56&gt;0,$V56/($M56-$T56),""))</f>
        <v/>
      </c>
      <c r="X56" s="35">
        <f>IF($A56="","",DATE(YEAR($A56),MONTH($A56),1))</f>
        <v/>
      </c>
    </row>
    <row r="57">
      <c r="A57" s="18" t="n"/>
      <c r="B57" s="13" t="n"/>
      <c r="C57" s="13" t="n"/>
      <c r="D57" s="26" t="n"/>
      <c r="E57" s="12" t="n"/>
      <c r="F57" s="12" t="n"/>
      <c r="G57" s="12" t="n"/>
      <c r="H57" s="12" t="n"/>
      <c r="I57" s="13" t="n"/>
      <c r="J57" s="13" t="n"/>
      <c r="K57" s="12" t="n"/>
      <c r="L57" s="13" t="n"/>
      <c r="M57" s="15">
        <f>IF($A57="","",IF($D57="",1,$D57)*$E57+$F57-$H57)</f>
        <v/>
      </c>
      <c r="N57" s="15">
        <f>IF($A57="","",IF($B57="Etsy",IF($D57="",1,$D57)*Settings!$C$19,0))</f>
        <v/>
      </c>
      <c r="O57" s="15">
        <f>IF($A57="","",IF($B57="Etsy",Settings!$C$20*($M57+IF(Settings!$C$54="Y",0,$H57)),0))</f>
        <v/>
      </c>
      <c r="P57" s="15">
        <f>IF($A57="","",IF($B57="Etsy",Settings!$C$21*$M57*(1+Settings!$C$55)+Settings!$C$22,IF($B57="Shopify",Settings!$C$14*$M57+Settings!$C$15,0)))</f>
        <v/>
      </c>
      <c r="Q57" s="15">
        <f>IF($A57="","",IF(AND($B57="Etsy",$I57="Y"),MIN(Settings!$C$12*($M57+IF(Settings!$C$54="Y",0,$H57)),Settings!$C$25),0))</f>
        <v/>
      </c>
      <c r="R57" s="15">
        <f>IF($A57="","",IF(AND($B57="Etsy",$J57="Y",$L57="Y",$M57&gt;0),($O57+Settings!$C$21*$M57*(1+Settings!$C$55)+IF(Settings!$C$59="Y",$Q57,0))*$T57/$M57+IF(AND(Settings!$C$58="Y",$T57&gt;=$M57),Settings!$C$22,0),0))</f>
        <v/>
      </c>
      <c r="S57" s="15">
        <f>IF($A57="","",$N57+$O57+$P57+$Q57-$R57)</f>
        <v/>
      </c>
      <c r="T57" s="15">
        <f>IF($A57="","",IF($J57="Y",IF($K57="",$M57,MIN($K57,$M57)),0))</f>
        <v/>
      </c>
      <c r="U57" s="15">
        <f>IF($A57="","",IF($D57="",1,$D57)*IFERROR(INDEX(Products!$F$5:$F$54,MATCH($C57,Products!$A$5:$A$54,0)),0))</f>
        <v/>
      </c>
      <c r="V57" s="27">
        <f>IF($A57="","",$M57-$T57-$S57-$U57-$G57)</f>
        <v/>
      </c>
      <c r="W57" s="31">
        <f>IF($A57="","",IF($M57-$T57&gt;0,$V57/($M57-$T57),""))</f>
        <v/>
      </c>
      <c r="X57" s="35">
        <f>IF($A57="","",DATE(YEAR($A57),MONTH($A57),1))</f>
        <v/>
      </c>
    </row>
    <row r="58">
      <c r="A58" s="18" t="n"/>
      <c r="B58" s="13" t="n"/>
      <c r="C58" s="13" t="n"/>
      <c r="D58" s="26" t="n"/>
      <c r="E58" s="12" t="n"/>
      <c r="F58" s="12" t="n"/>
      <c r="G58" s="12" t="n"/>
      <c r="H58" s="12" t="n"/>
      <c r="I58" s="13" t="n"/>
      <c r="J58" s="13" t="n"/>
      <c r="K58" s="12" t="n"/>
      <c r="L58" s="13" t="n"/>
      <c r="M58" s="15">
        <f>IF($A58="","",IF($D58="",1,$D58)*$E58+$F58-$H58)</f>
        <v/>
      </c>
      <c r="N58" s="15">
        <f>IF($A58="","",IF($B58="Etsy",IF($D58="",1,$D58)*Settings!$C$19,0))</f>
        <v/>
      </c>
      <c r="O58" s="15">
        <f>IF($A58="","",IF($B58="Etsy",Settings!$C$20*($M58+IF(Settings!$C$54="Y",0,$H58)),0))</f>
        <v/>
      </c>
      <c r="P58" s="15">
        <f>IF($A58="","",IF($B58="Etsy",Settings!$C$21*$M58*(1+Settings!$C$55)+Settings!$C$22,IF($B58="Shopify",Settings!$C$14*$M58+Settings!$C$15,0)))</f>
        <v/>
      </c>
      <c r="Q58" s="15">
        <f>IF($A58="","",IF(AND($B58="Etsy",$I58="Y"),MIN(Settings!$C$12*($M58+IF(Settings!$C$54="Y",0,$H58)),Settings!$C$25),0))</f>
        <v/>
      </c>
      <c r="R58" s="15">
        <f>IF($A58="","",IF(AND($B58="Etsy",$J58="Y",$L58="Y",$M58&gt;0),($O58+Settings!$C$21*$M58*(1+Settings!$C$55)+IF(Settings!$C$59="Y",$Q58,0))*$T58/$M58+IF(AND(Settings!$C$58="Y",$T58&gt;=$M58),Settings!$C$22,0),0))</f>
        <v/>
      </c>
      <c r="S58" s="15">
        <f>IF($A58="","",$N58+$O58+$P58+$Q58-$R58)</f>
        <v/>
      </c>
      <c r="T58" s="15">
        <f>IF($A58="","",IF($J58="Y",IF($K58="",$M58,MIN($K58,$M58)),0))</f>
        <v/>
      </c>
      <c r="U58" s="15">
        <f>IF($A58="","",IF($D58="",1,$D58)*IFERROR(INDEX(Products!$F$5:$F$54,MATCH($C58,Products!$A$5:$A$54,0)),0))</f>
        <v/>
      </c>
      <c r="V58" s="27">
        <f>IF($A58="","",$M58-$T58-$S58-$U58-$G58)</f>
        <v/>
      </c>
      <c r="W58" s="31">
        <f>IF($A58="","",IF($M58-$T58&gt;0,$V58/($M58-$T58),""))</f>
        <v/>
      </c>
      <c r="X58" s="35">
        <f>IF($A58="","",DATE(YEAR($A58),MONTH($A58),1))</f>
        <v/>
      </c>
    </row>
    <row r="59">
      <c r="A59" s="18" t="n"/>
      <c r="B59" s="13" t="n"/>
      <c r="C59" s="13" t="n"/>
      <c r="D59" s="26" t="n"/>
      <c r="E59" s="12" t="n"/>
      <c r="F59" s="12" t="n"/>
      <c r="G59" s="12" t="n"/>
      <c r="H59" s="12" t="n"/>
      <c r="I59" s="13" t="n"/>
      <c r="J59" s="13" t="n"/>
      <c r="K59" s="12" t="n"/>
      <c r="L59" s="13" t="n"/>
      <c r="M59" s="15">
        <f>IF($A59="","",IF($D59="",1,$D59)*$E59+$F59-$H59)</f>
        <v/>
      </c>
      <c r="N59" s="15">
        <f>IF($A59="","",IF($B59="Etsy",IF($D59="",1,$D59)*Settings!$C$19,0))</f>
        <v/>
      </c>
      <c r="O59" s="15">
        <f>IF($A59="","",IF($B59="Etsy",Settings!$C$20*($M59+IF(Settings!$C$54="Y",0,$H59)),0))</f>
        <v/>
      </c>
      <c r="P59" s="15">
        <f>IF($A59="","",IF($B59="Etsy",Settings!$C$21*$M59*(1+Settings!$C$55)+Settings!$C$22,IF($B59="Shopify",Settings!$C$14*$M59+Settings!$C$15,0)))</f>
        <v/>
      </c>
      <c r="Q59" s="15">
        <f>IF($A59="","",IF(AND($B59="Etsy",$I59="Y"),MIN(Settings!$C$12*($M59+IF(Settings!$C$54="Y",0,$H59)),Settings!$C$25),0))</f>
        <v/>
      </c>
      <c r="R59" s="15">
        <f>IF($A59="","",IF(AND($B59="Etsy",$J59="Y",$L59="Y",$M59&gt;0),($O59+Settings!$C$21*$M59*(1+Settings!$C$55)+IF(Settings!$C$59="Y",$Q59,0))*$T59/$M59+IF(AND(Settings!$C$58="Y",$T59&gt;=$M59),Settings!$C$22,0),0))</f>
        <v/>
      </c>
      <c r="S59" s="15">
        <f>IF($A59="","",$N59+$O59+$P59+$Q59-$R59)</f>
        <v/>
      </c>
      <c r="T59" s="15">
        <f>IF($A59="","",IF($J59="Y",IF($K59="",$M59,MIN($K59,$M59)),0))</f>
        <v/>
      </c>
      <c r="U59" s="15">
        <f>IF($A59="","",IF($D59="",1,$D59)*IFERROR(INDEX(Products!$F$5:$F$54,MATCH($C59,Products!$A$5:$A$54,0)),0))</f>
        <v/>
      </c>
      <c r="V59" s="27">
        <f>IF($A59="","",$M59-$T59-$S59-$U59-$G59)</f>
        <v/>
      </c>
      <c r="W59" s="31">
        <f>IF($A59="","",IF($M59-$T59&gt;0,$V59/($M59-$T59),""))</f>
        <v/>
      </c>
      <c r="X59" s="35">
        <f>IF($A59="","",DATE(YEAR($A59),MONTH($A59),1))</f>
        <v/>
      </c>
    </row>
    <row r="60">
      <c r="A60" s="18" t="n"/>
      <c r="B60" s="13" t="n"/>
      <c r="C60" s="13" t="n"/>
      <c r="D60" s="26" t="n"/>
      <c r="E60" s="12" t="n"/>
      <c r="F60" s="12" t="n"/>
      <c r="G60" s="12" t="n"/>
      <c r="H60" s="12" t="n"/>
      <c r="I60" s="13" t="n"/>
      <c r="J60" s="13" t="n"/>
      <c r="K60" s="12" t="n"/>
      <c r="L60" s="13" t="n"/>
      <c r="M60" s="15">
        <f>IF($A60="","",IF($D60="",1,$D60)*$E60+$F60-$H60)</f>
        <v/>
      </c>
      <c r="N60" s="15">
        <f>IF($A60="","",IF($B60="Etsy",IF($D60="",1,$D60)*Settings!$C$19,0))</f>
        <v/>
      </c>
      <c r="O60" s="15">
        <f>IF($A60="","",IF($B60="Etsy",Settings!$C$20*($M60+IF(Settings!$C$54="Y",0,$H60)),0))</f>
        <v/>
      </c>
      <c r="P60" s="15">
        <f>IF($A60="","",IF($B60="Etsy",Settings!$C$21*$M60*(1+Settings!$C$55)+Settings!$C$22,IF($B60="Shopify",Settings!$C$14*$M60+Settings!$C$15,0)))</f>
        <v/>
      </c>
      <c r="Q60" s="15">
        <f>IF($A60="","",IF(AND($B60="Etsy",$I60="Y"),MIN(Settings!$C$12*($M60+IF(Settings!$C$54="Y",0,$H60)),Settings!$C$25),0))</f>
        <v/>
      </c>
      <c r="R60" s="15">
        <f>IF($A60="","",IF(AND($B60="Etsy",$J60="Y",$L60="Y",$M60&gt;0),($O60+Settings!$C$21*$M60*(1+Settings!$C$55)+IF(Settings!$C$59="Y",$Q60,0))*$T60/$M60+IF(AND(Settings!$C$58="Y",$T60&gt;=$M60),Settings!$C$22,0),0))</f>
        <v/>
      </c>
      <c r="S60" s="15">
        <f>IF($A60="","",$N60+$O60+$P60+$Q60-$R60)</f>
        <v/>
      </c>
      <c r="T60" s="15">
        <f>IF($A60="","",IF($J60="Y",IF($K60="",$M60,MIN($K60,$M60)),0))</f>
        <v/>
      </c>
      <c r="U60" s="15">
        <f>IF($A60="","",IF($D60="",1,$D60)*IFERROR(INDEX(Products!$F$5:$F$54,MATCH($C60,Products!$A$5:$A$54,0)),0))</f>
        <v/>
      </c>
      <c r="V60" s="27">
        <f>IF($A60="","",$M60-$T60-$S60-$U60-$G60)</f>
        <v/>
      </c>
      <c r="W60" s="31">
        <f>IF($A60="","",IF($M60-$T60&gt;0,$V60/($M60-$T60),""))</f>
        <v/>
      </c>
      <c r="X60" s="35">
        <f>IF($A60="","",DATE(YEAR($A60),MONTH($A60),1))</f>
        <v/>
      </c>
    </row>
    <row r="61">
      <c r="A61" s="18" t="n"/>
      <c r="B61" s="13" t="n"/>
      <c r="C61" s="13" t="n"/>
      <c r="D61" s="26" t="n"/>
      <c r="E61" s="12" t="n"/>
      <c r="F61" s="12" t="n"/>
      <c r="G61" s="12" t="n"/>
      <c r="H61" s="12" t="n"/>
      <c r="I61" s="13" t="n"/>
      <c r="J61" s="13" t="n"/>
      <c r="K61" s="12" t="n"/>
      <c r="L61" s="13" t="n"/>
      <c r="M61" s="15">
        <f>IF($A61="","",IF($D61="",1,$D61)*$E61+$F61-$H61)</f>
        <v/>
      </c>
      <c r="N61" s="15">
        <f>IF($A61="","",IF($B61="Etsy",IF($D61="",1,$D61)*Settings!$C$19,0))</f>
        <v/>
      </c>
      <c r="O61" s="15">
        <f>IF($A61="","",IF($B61="Etsy",Settings!$C$20*($M61+IF(Settings!$C$54="Y",0,$H61)),0))</f>
        <v/>
      </c>
      <c r="P61" s="15">
        <f>IF($A61="","",IF($B61="Etsy",Settings!$C$21*$M61*(1+Settings!$C$55)+Settings!$C$22,IF($B61="Shopify",Settings!$C$14*$M61+Settings!$C$15,0)))</f>
        <v/>
      </c>
      <c r="Q61" s="15">
        <f>IF($A61="","",IF(AND($B61="Etsy",$I61="Y"),MIN(Settings!$C$12*($M61+IF(Settings!$C$54="Y",0,$H61)),Settings!$C$25),0))</f>
        <v/>
      </c>
      <c r="R61" s="15">
        <f>IF($A61="","",IF(AND($B61="Etsy",$J61="Y",$L61="Y",$M61&gt;0),($O61+Settings!$C$21*$M61*(1+Settings!$C$55)+IF(Settings!$C$59="Y",$Q61,0))*$T61/$M61+IF(AND(Settings!$C$58="Y",$T61&gt;=$M61),Settings!$C$22,0),0))</f>
        <v/>
      </c>
      <c r="S61" s="15">
        <f>IF($A61="","",$N61+$O61+$P61+$Q61-$R61)</f>
        <v/>
      </c>
      <c r="T61" s="15">
        <f>IF($A61="","",IF($J61="Y",IF($K61="",$M61,MIN($K61,$M61)),0))</f>
        <v/>
      </c>
      <c r="U61" s="15">
        <f>IF($A61="","",IF($D61="",1,$D61)*IFERROR(INDEX(Products!$F$5:$F$54,MATCH($C61,Products!$A$5:$A$54,0)),0))</f>
        <v/>
      </c>
      <c r="V61" s="27">
        <f>IF($A61="","",$M61-$T61-$S61-$U61-$G61)</f>
        <v/>
      </c>
      <c r="W61" s="31">
        <f>IF($A61="","",IF($M61-$T61&gt;0,$V61/($M61-$T61),""))</f>
        <v/>
      </c>
      <c r="X61" s="35">
        <f>IF($A61="","",DATE(YEAR($A61),MONTH($A61),1))</f>
        <v/>
      </c>
    </row>
    <row r="62">
      <c r="A62" s="18" t="n"/>
      <c r="B62" s="13" t="n"/>
      <c r="C62" s="13" t="n"/>
      <c r="D62" s="26" t="n"/>
      <c r="E62" s="12" t="n"/>
      <c r="F62" s="12" t="n"/>
      <c r="G62" s="12" t="n"/>
      <c r="H62" s="12" t="n"/>
      <c r="I62" s="13" t="n"/>
      <c r="J62" s="13" t="n"/>
      <c r="K62" s="12" t="n"/>
      <c r="L62" s="13" t="n"/>
      <c r="M62" s="15">
        <f>IF($A62="","",IF($D62="",1,$D62)*$E62+$F62-$H62)</f>
        <v/>
      </c>
      <c r="N62" s="15">
        <f>IF($A62="","",IF($B62="Etsy",IF($D62="",1,$D62)*Settings!$C$19,0))</f>
        <v/>
      </c>
      <c r="O62" s="15">
        <f>IF($A62="","",IF($B62="Etsy",Settings!$C$20*($M62+IF(Settings!$C$54="Y",0,$H62)),0))</f>
        <v/>
      </c>
      <c r="P62" s="15">
        <f>IF($A62="","",IF($B62="Etsy",Settings!$C$21*$M62*(1+Settings!$C$55)+Settings!$C$22,IF($B62="Shopify",Settings!$C$14*$M62+Settings!$C$15,0)))</f>
        <v/>
      </c>
      <c r="Q62" s="15">
        <f>IF($A62="","",IF(AND($B62="Etsy",$I62="Y"),MIN(Settings!$C$12*($M62+IF(Settings!$C$54="Y",0,$H62)),Settings!$C$25),0))</f>
        <v/>
      </c>
      <c r="R62" s="15">
        <f>IF($A62="","",IF(AND($B62="Etsy",$J62="Y",$L62="Y",$M62&gt;0),($O62+Settings!$C$21*$M62*(1+Settings!$C$55)+IF(Settings!$C$59="Y",$Q62,0))*$T62/$M62+IF(AND(Settings!$C$58="Y",$T62&gt;=$M62),Settings!$C$22,0),0))</f>
        <v/>
      </c>
      <c r="S62" s="15">
        <f>IF($A62="","",$N62+$O62+$P62+$Q62-$R62)</f>
        <v/>
      </c>
      <c r="T62" s="15">
        <f>IF($A62="","",IF($J62="Y",IF($K62="",$M62,MIN($K62,$M62)),0))</f>
        <v/>
      </c>
      <c r="U62" s="15">
        <f>IF($A62="","",IF($D62="",1,$D62)*IFERROR(INDEX(Products!$F$5:$F$54,MATCH($C62,Products!$A$5:$A$54,0)),0))</f>
        <v/>
      </c>
      <c r="V62" s="27">
        <f>IF($A62="","",$M62-$T62-$S62-$U62-$G62)</f>
        <v/>
      </c>
      <c r="W62" s="31">
        <f>IF($A62="","",IF($M62-$T62&gt;0,$V62/($M62-$T62),""))</f>
        <v/>
      </c>
      <c r="X62" s="35">
        <f>IF($A62="","",DATE(YEAR($A62),MONTH($A62),1))</f>
        <v/>
      </c>
    </row>
    <row r="63">
      <c r="A63" s="18" t="n"/>
      <c r="B63" s="13" t="n"/>
      <c r="C63" s="13" t="n"/>
      <c r="D63" s="26" t="n"/>
      <c r="E63" s="12" t="n"/>
      <c r="F63" s="12" t="n"/>
      <c r="G63" s="12" t="n"/>
      <c r="H63" s="12" t="n"/>
      <c r="I63" s="13" t="n"/>
      <c r="J63" s="13" t="n"/>
      <c r="K63" s="12" t="n"/>
      <c r="L63" s="13" t="n"/>
      <c r="M63" s="15">
        <f>IF($A63="","",IF($D63="",1,$D63)*$E63+$F63-$H63)</f>
        <v/>
      </c>
      <c r="N63" s="15">
        <f>IF($A63="","",IF($B63="Etsy",IF($D63="",1,$D63)*Settings!$C$19,0))</f>
        <v/>
      </c>
      <c r="O63" s="15">
        <f>IF($A63="","",IF($B63="Etsy",Settings!$C$20*($M63+IF(Settings!$C$54="Y",0,$H63)),0))</f>
        <v/>
      </c>
      <c r="P63" s="15">
        <f>IF($A63="","",IF($B63="Etsy",Settings!$C$21*$M63*(1+Settings!$C$55)+Settings!$C$22,IF($B63="Shopify",Settings!$C$14*$M63+Settings!$C$15,0)))</f>
        <v/>
      </c>
      <c r="Q63" s="15">
        <f>IF($A63="","",IF(AND($B63="Etsy",$I63="Y"),MIN(Settings!$C$12*($M63+IF(Settings!$C$54="Y",0,$H63)),Settings!$C$25),0))</f>
        <v/>
      </c>
      <c r="R63" s="15">
        <f>IF($A63="","",IF(AND($B63="Etsy",$J63="Y",$L63="Y",$M63&gt;0),($O63+Settings!$C$21*$M63*(1+Settings!$C$55)+IF(Settings!$C$59="Y",$Q63,0))*$T63/$M63+IF(AND(Settings!$C$58="Y",$T63&gt;=$M63),Settings!$C$22,0),0))</f>
        <v/>
      </c>
      <c r="S63" s="15">
        <f>IF($A63="","",$N63+$O63+$P63+$Q63-$R63)</f>
        <v/>
      </c>
      <c r="T63" s="15">
        <f>IF($A63="","",IF($J63="Y",IF($K63="",$M63,MIN($K63,$M63)),0))</f>
        <v/>
      </c>
      <c r="U63" s="15">
        <f>IF($A63="","",IF($D63="",1,$D63)*IFERROR(INDEX(Products!$F$5:$F$54,MATCH($C63,Products!$A$5:$A$54,0)),0))</f>
        <v/>
      </c>
      <c r="V63" s="27">
        <f>IF($A63="","",$M63-$T63-$S63-$U63-$G63)</f>
        <v/>
      </c>
      <c r="W63" s="31">
        <f>IF($A63="","",IF($M63-$T63&gt;0,$V63/($M63-$T63),""))</f>
        <v/>
      </c>
      <c r="X63" s="35">
        <f>IF($A63="","",DATE(YEAR($A63),MONTH($A63),1))</f>
        <v/>
      </c>
    </row>
    <row r="64">
      <c r="A64" s="18" t="n"/>
      <c r="B64" s="13" t="n"/>
      <c r="C64" s="13" t="n"/>
      <c r="D64" s="26" t="n"/>
      <c r="E64" s="12" t="n"/>
      <c r="F64" s="12" t="n"/>
      <c r="G64" s="12" t="n"/>
      <c r="H64" s="12" t="n"/>
      <c r="I64" s="13" t="n"/>
      <c r="J64" s="13" t="n"/>
      <c r="K64" s="12" t="n"/>
      <c r="L64" s="13" t="n"/>
      <c r="M64" s="15">
        <f>IF($A64="","",IF($D64="",1,$D64)*$E64+$F64-$H64)</f>
        <v/>
      </c>
      <c r="N64" s="15">
        <f>IF($A64="","",IF($B64="Etsy",IF($D64="",1,$D64)*Settings!$C$19,0))</f>
        <v/>
      </c>
      <c r="O64" s="15">
        <f>IF($A64="","",IF($B64="Etsy",Settings!$C$20*($M64+IF(Settings!$C$54="Y",0,$H64)),0))</f>
        <v/>
      </c>
      <c r="P64" s="15">
        <f>IF($A64="","",IF($B64="Etsy",Settings!$C$21*$M64*(1+Settings!$C$55)+Settings!$C$22,IF($B64="Shopify",Settings!$C$14*$M64+Settings!$C$15,0)))</f>
        <v/>
      </c>
      <c r="Q64" s="15">
        <f>IF($A64="","",IF(AND($B64="Etsy",$I64="Y"),MIN(Settings!$C$12*($M64+IF(Settings!$C$54="Y",0,$H64)),Settings!$C$25),0))</f>
        <v/>
      </c>
      <c r="R64" s="15">
        <f>IF($A64="","",IF(AND($B64="Etsy",$J64="Y",$L64="Y",$M64&gt;0),($O64+Settings!$C$21*$M64*(1+Settings!$C$55)+IF(Settings!$C$59="Y",$Q64,0))*$T64/$M64+IF(AND(Settings!$C$58="Y",$T64&gt;=$M64),Settings!$C$22,0),0))</f>
        <v/>
      </c>
      <c r="S64" s="15">
        <f>IF($A64="","",$N64+$O64+$P64+$Q64-$R64)</f>
        <v/>
      </c>
      <c r="T64" s="15">
        <f>IF($A64="","",IF($J64="Y",IF($K64="",$M64,MIN($K64,$M64)),0))</f>
        <v/>
      </c>
      <c r="U64" s="15">
        <f>IF($A64="","",IF($D64="",1,$D64)*IFERROR(INDEX(Products!$F$5:$F$54,MATCH($C64,Products!$A$5:$A$54,0)),0))</f>
        <v/>
      </c>
      <c r="V64" s="27">
        <f>IF($A64="","",$M64-$T64-$S64-$U64-$G64)</f>
        <v/>
      </c>
      <c r="W64" s="31">
        <f>IF($A64="","",IF($M64-$T64&gt;0,$V64/($M64-$T64),""))</f>
        <v/>
      </c>
      <c r="X64" s="35">
        <f>IF($A64="","",DATE(YEAR($A64),MONTH($A64),1))</f>
        <v/>
      </c>
    </row>
    <row r="65">
      <c r="A65" s="18" t="n"/>
      <c r="B65" s="13" t="n"/>
      <c r="C65" s="13" t="n"/>
      <c r="D65" s="26" t="n"/>
      <c r="E65" s="12" t="n"/>
      <c r="F65" s="12" t="n"/>
      <c r="G65" s="12" t="n"/>
      <c r="H65" s="12" t="n"/>
      <c r="I65" s="13" t="n"/>
      <c r="J65" s="13" t="n"/>
      <c r="K65" s="12" t="n"/>
      <c r="L65" s="13" t="n"/>
      <c r="M65" s="15">
        <f>IF($A65="","",IF($D65="",1,$D65)*$E65+$F65-$H65)</f>
        <v/>
      </c>
      <c r="N65" s="15">
        <f>IF($A65="","",IF($B65="Etsy",IF($D65="",1,$D65)*Settings!$C$19,0))</f>
        <v/>
      </c>
      <c r="O65" s="15">
        <f>IF($A65="","",IF($B65="Etsy",Settings!$C$20*($M65+IF(Settings!$C$54="Y",0,$H65)),0))</f>
        <v/>
      </c>
      <c r="P65" s="15">
        <f>IF($A65="","",IF($B65="Etsy",Settings!$C$21*$M65*(1+Settings!$C$55)+Settings!$C$22,IF($B65="Shopify",Settings!$C$14*$M65+Settings!$C$15,0)))</f>
        <v/>
      </c>
      <c r="Q65" s="15">
        <f>IF($A65="","",IF(AND($B65="Etsy",$I65="Y"),MIN(Settings!$C$12*($M65+IF(Settings!$C$54="Y",0,$H65)),Settings!$C$25),0))</f>
        <v/>
      </c>
      <c r="R65" s="15">
        <f>IF($A65="","",IF(AND($B65="Etsy",$J65="Y",$L65="Y",$M65&gt;0),($O65+Settings!$C$21*$M65*(1+Settings!$C$55)+IF(Settings!$C$59="Y",$Q65,0))*$T65/$M65+IF(AND(Settings!$C$58="Y",$T65&gt;=$M65),Settings!$C$22,0),0))</f>
        <v/>
      </c>
      <c r="S65" s="15">
        <f>IF($A65="","",$N65+$O65+$P65+$Q65-$R65)</f>
        <v/>
      </c>
      <c r="T65" s="15">
        <f>IF($A65="","",IF($J65="Y",IF($K65="",$M65,MIN($K65,$M65)),0))</f>
        <v/>
      </c>
      <c r="U65" s="15">
        <f>IF($A65="","",IF($D65="",1,$D65)*IFERROR(INDEX(Products!$F$5:$F$54,MATCH($C65,Products!$A$5:$A$54,0)),0))</f>
        <v/>
      </c>
      <c r="V65" s="27">
        <f>IF($A65="","",$M65-$T65-$S65-$U65-$G65)</f>
        <v/>
      </c>
      <c r="W65" s="31">
        <f>IF($A65="","",IF($M65-$T65&gt;0,$V65/($M65-$T65),""))</f>
        <v/>
      </c>
      <c r="X65" s="35">
        <f>IF($A65="","",DATE(YEAR($A65),MONTH($A65),1))</f>
        <v/>
      </c>
    </row>
    <row r="66">
      <c r="A66" s="18" t="n"/>
      <c r="B66" s="13" t="n"/>
      <c r="C66" s="13" t="n"/>
      <c r="D66" s="26" t="n"/>
      <c r="E66" s="12" t="n"/>
      <c r="F66" s="12" t="n"/>
      <c r="G66" s="12" t="n"/>
      <c r="H66" s="12" t="n"/>
      <c r="I66" s="13" t="n"/>
      <c r="J66" s="13" t="n"/>
      <c r="K66" s="12" t="n"/>
      <c r="L66" s="13" t="n"/>
      <c r="M66" s="15">
        <f>IF($A66="","",IF($D66="",1,$D66)*$E66+$F66-$H66)</f>
        <v/>
      </c>
      <c r="N66" s="15">
        <f>IF($A66="","",IF($B66="Etsy",IF($D66="",1,$D66)*Settings!$C$19,0))</f>
        <v/>
      </c>
      <c r="O66" s="15">
        <f>IF($A66="","",IF($B66="Etsy",Settings!$C$20*($M66+IF(Settings!$C$54="Y",0,$H66)),0))</f>
        <v/>
      </c>
      <c r="P66" s="15">
        <f>IF($A66="","",IF($B66="Etsy",Settings!$C$21*$M66*(1+Settings!$C$55)+Settings!$C$22,IF($B66="Shopify",Settings!$C$14*$M66+Settings!$C$15,0)))</f>
        <v/>
      </c>
      <c r="Q66" s="15">
        <f>IF($A66="","",IF(AND($B66="Etsy",$I66="Y"),MIN(Settings!$C$12*($M66+IF(Settings!$C$54="Y",0,$H66)),Settings!$C$25),0))</f>
        <v/>
      </c>
      <c r="R66" s="15">
        <f>IF($A66="","",IF(AND($B66="Etsy",$J66="Y",$L66="Y",$M66&gt;0),($O66+Settings!$C$21*$M66*(1+Settings!$C$55)+IF(Settings!$C$59="Y",$Q66,0))*$T66/$M66+IF(AND(Settings!$C$58="Y",$T66&gt;=$M66),Settings!$C$22,0),0))</f>
        <v/>
      </c>
      <c r="S66" s="15">
        <f>IF($A66="","",$N66+$O66+$P66+$Q66-$R66)</f>
        <v/>
      </c>
      <c r="T66" s="15">
        <f>IF($A66="","",IF($J66="Y",IF($K66="",$M66,MIN($K66,$M66)),0))</f>
        <v/>
      </c>
      <c r="U66" s="15">
        <f>IF($A66="","",IF($D66="",1,$D66)*IFERROR(INDEX(Products!$F$5:$F$54,MATCH($C66,Products!$A$5:$A$54,0)),0))</f>
        <v/>
      </c>
      <c r="V66" s="27">
        <f>IF($A66="","",$M66-$T66-$S66-$U66-$G66)</f>
        <v/>
      </c>
      <c r="W66" s="31">
        <f>IF($A66="","",IF($M66-$T66&gt;0,$V66/($M66-$T66),""))</f>
        <v/>
      </c>
      <c r="X66" s="35">
        <f>IF($A66="","",DATE(YEAR($A66),MONTH($A66),1))</f>
        <v/>
      </c>
    </row>
    <row r="67">
      <c r="A67" s="18" t="n"/>
      <c r="B67" s="13" t="n"/>
      <c r="C67" s="13" t="n"/>
      <c r="D67" s="26" t="n"/>
      <c r="E67" s="12" t="n"/>
      <c r="F67" s="12" t="n"/>
      <c r="G67" s="12" t="n"/>
      <c r="H67" s="12" t="n"/>
      <c r="I67" s="13" t="n"/>
      <c r="J67" s="13" t="n"/>
      <c r="K67" s="12" t="n"/>
      <c r="L67" s="13" t="n"/>
      <c r="M67" s="15">
        <f>IF($A67="","",IF($D67="",1,$D67)*$E67+$F67-$H67)</f>
        <v/>
      </c>
      <c r="N67" s="15">
        <f>IF($A67="","",IF($B67="Etsy",IF($D67="",1,$D67)*Settings!$C$19,0))</f>
        <v/>
      </c>
      <c r="O67" s="15">
        <f>IF($A67="","",IF($B67="Etsy",Settings!$C$20*($M67+IF(Settings!$C$54="Y",0,$H67)),0))</f>
        <v/>
      </c>
      <c r="P67" s="15">
        <f>IF($A67="","",IF($B67="Etsy",Settings!$C$21*$M67*(1+Settings!$C$55)+Settings!$C$22,IF($B67="Shopify",Settings!$C$14*$M67+Settings!$C$15,0)))</f>
        <v/>
      </c>
      <c r="Q67" s="15">
        <f>IF($A67="","",IF(AND($B67="Etsy",$I67="Y"),MIN(Settings!$C$12*($M67+IF(Settings!$C$54="Y",0,$H67)),Settings!$C$25),0))</f>
        <v/>
      </c>
      <c r="R67" s="15">
        <f>IF($A67="","",IF(AND($B67="Etsy",$J67="Y",$L67="Y",$M67&gt;0),($O67+Settings!$C$21*$M67*(1+Settings!$C$55)+IF(Settings!$C$59="Y",$Q67,0))*$T67/$M67+IF(AND(Settings!$C$58="Y",$T67&gt;=$M67),Settings!$C$22,0),0))</f>
        <v/>
      </c>
      <c r="S67" s="15">
        <f>IF($A67="","",$N67+$O67+$P67+$Q67-$R67)</f>
        <v/>
      </c>
      <c r="T67" s="15">
        <f>IF($A67="","",IF($J67="Y",IF($K67="",$M67,MIN($K67,$M67)),0))</f>
        <v/>
      </c>
      <c r="U67" s="15">
        <f>IF($A67="","",IF($D67="",1,$D67)*IFERROR(INDEX(Products!$F$5:$F$54,MATCH($C67,Products!$A$5:$A$54,0)),0))</f>
        <v/>
      </c>
      <c r="V67" s="27">
        <f>IF($A67="","",$M67-$T67-$S67-$U67-$G67)</f>
        <v/>
      </c>
      <c r="W67" s="31">
        <f>IF($A67="","",IF($M67-$T67&gt;0,$V67/($M67-$T67),""))</f>
        <v/>
      </c>
      <c r="X67" s="35">
        <f>IF($A67="","",DATE(YEAR($A67),MONTH($A67),1))</f>
        <v/>
      </c>
    </row>
    <row r="68">
      <c r="A68" s="18" t="n"/>
      <c r="B68" s="13" t="n"/>
      <c r="C68" s="13" t="n"/>
      <c r="D68" s="26" t="n"/>
      <c r="E68" s="12" t="n"/>
      <c r="F68" s="12" t="n"/>
      <c r="G68" s="12" t="n"/>
      <c r="H68" s="12" t="n"/>
      <c r="I68" s="13" t="n"/>
      <c r="J68" s="13" t="n"/>
      <c r="K68" s="12" t="n"/>
      <c r="L68" s="13" t="n"/>
      <c r="M68" s="15">
        <f>IF($A68="","",IF($D68="",1,$D68)*$E68+$F68-$H68)</f>
        <v/>
      </c>
      <c r="N68" s="15">
        <f>IF($A68="","",IF($B68="Etsy",IF($D68="",1,$D68)*Settings!$C$19,0))</f>
        <v/>
      </c>
      <c r="O68" s="15">
        <f>IF($A68="","",IF($B68="Etsy",Settings!$C$20*($M68+IF(Settings!$C$54="Y",0,$H68)),0))</f>
        <v/>
      </c>
      <c r="P68" s="15">
        <f>IF($A68="","",IF($B68="Etsy",Settings!$C$21*$M68*(1+Settings!$C$55)+Settings!$C$22,IF($B68="Shopify",Settings!$C$14*$M68+Settings!$C$15,0)))</f>
        <v/>
      </c>
      <c r="Q68" s="15">
        <f>IF($A68="","",IF(AND($B68="Etsy",$I68="Y"),MIN(Settings!$C$12*($M68+IF(Settings!$C$54="Y",0,$H68)),Settings!$C$25),0))</f>
        <v/>
      </c>
      <c r="R68" s="15">
        <f>IF($A68="","",IF(AND($B68="Etsy",$J68="Y",$L68="Y",$M68&gt;0),($O68+Settings!$C$21*$M68*(1+Settings!$C$55)+IF(Settings!$C$59="Y",$Q68,0))*$T68/$M68+IF(AND(Settings!$C$58="Y",$T68&gt;=$M68),Settings!$C$22,0),0))</f>
        <v/>
      </c>
      <c r="S68" s="15">
        <f>IF($A68="","",$N68+$O68+$P68+$Q68-$R68)</f>
        <v/>
      </c>
      <c r="T68" s="15">
        <f>IF($A68="","",IF($J68="Y",IF($K68="",$M68,MIN($K68,$M68)),0))</f>
        <v/>
      </c>
      <c r="U68" s="15">
        <f>IF($A68="","",IF($D68="",1,$D68)*IFERROR(INDEX(Products!$F$5:$F$54,MATCH($C68,Products!$A$5:$A$54,0)),0))</f>
        <v/>
      </c>
      <c r="V68" s="27">
        <f>IF($A68="","",$M68-$T68-$S68-$U68-$G68)</f>
        <v/>
      </c>
      <c r="W68" s="31">
        <f>IF($A68="","",IF($M68-$T68&gt;0,$V68/($M68-$T68),""))</f>
        <v/>
      </c>
      <c r="X68" s="35">
        <f>IF($A68="","",DATE(YEAR($A68),MONTH($A68),1))</f>
        <v/>
      </c>
    </row>
    <row r="69">
      <c r="A69" s="18" t="n"/>
      <c r="B69" s="13" t="n"/>
      <c r="C69" s="13" t="n"/>
      <c r="D69" s="26" t="n"/>
      <c r="E69" s="12" t="n"/>
      <c r="F69" s="12" t="n"/>
      <c r="G69" s="12" t="n"/>
      <c r="H69" s="12" t="n"/>
      <c r="I69" s="13" t="n"/>
      <c r="J69" s="13" t="n"/>
      <c r="K69" s="12" t="n"/>
      <c r="L69" s="13" t="n"/>
      <c r="M69" s="15">
        <f>IF($A69="","",IF($D69="",1,$D69)*$E69+$F69-$H69)</f>
        <v/>
      </c>
      <c r="N69" s="15">
        <f>IF($A69="","",IF($B69="Etsy",IF($D69="",1,$D69)*Settings!$C$19,0))</f>
        <v/>
      </c>
      <c r="O69" s="15">
        <f>IF($A69="","",IF($B69="Etsy",Settings!$C$20*($M69+IF(Settings!$C$54="Y",0,$H69)),0))</f>
        <v/>
      </c>
      <c r="P69" s="15">
        <f>IF($A69="","",IF($B69="Etsy",Settings!$C$21*$M69*(1+Settings!$C$55)+Settings!$C$22,IF($B69="Shopify",Settings!$C$14*$M69+Settings!$C$15,0)))</f>
        <v/>
      </c>
      <c r="Q69" s="15">
        <f>IF($A69="","",IF(AND($B69="Etsy",$I69="Y"),MIN(Settings!$C$12*($M69+IF(Settings!$C$54="Y",0,$H69)),Settings!$C$25),0))</f>
        <v/>
      </c>
      <c r="R69" s="15">
        <f>IF($A69="","",IF(AND($B69="Etsy",$J69="Y",$L69="Y",$M69&gt;0),($O69+Settings!$C$21*$M69*(1+Settings!$C$55)+IF(Settings!$C$59="Y",$Q69,0))*$T69/$M69+IF(AND(Settings!$C$58="Y",$T69&gt;=$M69),Settings!$C$22,0),0))</f>
        <v/>
      </c>
      <c r="S69" s="15">
        <f>IF($A69="","",$N69+$O69+$P69+$Q69-$R69)</f>
        <v/>
      </c>
      <c r="T69" s="15">
        <f>IF($A69="","",IF($J69="Y",IF($K69="",$M69,MIN($K69,$M69)),0))</f>
        <v/>
      </c>
      <c r="U69" s="15">
        <f>IF($A69="","",IF($D69="",1,$D69)*IFERROR(INDEX(Products!$F$5:$F$54,MATCH($C69,Products!$A$5:$A$54,0)),0))</f>
        <v/>
      </c>
      <c r="V69" s="27">
        <f>IF($A69="","",$M69-$T69-$S69-$U69-$G69)</f>
        <v/>
      </c>
      <c r="W69" s="31">
        <f>IF($A69="","",IF($M69-$T69&gt;0,$V69/($M69-$T69),""))</f>
        <v/>
      </c>
      <c r="X69" s="35">
        <f>IF($A69="","",DATE(YEAR($A69),MONTH($A69),1))</f>
        <v/>
      </c>
    </row>
    <row r="70">
      <c r="A70" s="18" t="n"/>
      <c r="B70" s="13" t="n"/>
      <c r="C70" s="13" t="n"/>
      <c r="D70" s="26" t="n"/>
      <c r="E70" s="12" t="n"/>
      <c r="F70" s="12" t="n"/>
      <c r="G70" s="12" t="n"/>
      <c r="H70" s="12" t="n"/>
      <c r="I70" s="13" t="n"/>
      <c r="J70" s="13" t="n"/>
      <c r="K70" s="12" t="n"/>
      <c r="L70" s="13" t="n"/>
      <c r="M70" s="15">
        <f>IF($A70="","",IF($D70="",1,$D70)*$E70+$F70-$H70)</f>
        <v/>
      </c>
      <c r="N70" s="15">
        <f>IF($A70="","",IF($B70="Etsy",IF($D70="",1,$D70)*Settings!$C$19,0))</f>
        <v/>
      </c>
      <c r="O70" s="15">
        <f>IF($A70="","",IF($B70="Etsy",Settings!$C$20*($M70+IF(Settings!$C$54="Y",0,$H70)),0))</f>
        <v/>
      </c>
      <c r="P70" s="15">
        <f>IF($A70="","",IF($B70="Etsy",Settings!$C$21*$M70*(1+Settings!$C$55)+Settings!$C$22,IF($B70="Shopify",Settings!$C$14*$M70+Settings!$C$15,0)))</f>
        <v/>
      </c>
      <c r="Q70" s="15">
        <f>IF($A70="","",IF(AND($B70="Etsy",$I70="Y"),MIN(Settings!$C$12*($M70+IF(Settings!$C$54="Y",0,$H70)),Settings!$C$25),0))</f>
        <v/>
      </c>
      <c r="R70" s="15">
        <f>IF($A70="","",IF(AND($B70="Etsy",$J70="Y",$L70="Y",$M70&gt;0),($O70+Settings!$C$21*$M70*(1+Settings!$C$55)+IF(Settings!$C$59="Y",$Q70,0))*$T70/$M70+IF(AND(Settings!$C$58="Y",$T70&gt;=$M70),Settings!$C$22,0),0))</f>
        <v/>
      </c>
      <c r="S70" s="15">
        <f>IF($A70="","",$N70+$O70+$P70+$Q70-$R70)</f>
        <v/>
      </c>
      <c r="T70" s="15">
        <f>IF($A70="","",IF($J70="Y",IF($K70="",$M70,MIN($K70,$M70)),0))</f>
        <v/>
      </c>
      <c r="U70" s="15">
        <f>IF($A70="","",IF($D70="",1,$D70)*IFERROR(INDEX(Products!$F$5:$F$54,MATCH($C70,Products!$A$5:$A$54,0)),0))</f>
        <v/>
      </c>
      <c r="V70" s="27">
        <f>IF($A70="","",$M70-$T70-$S70-$U70-$G70)</f>
        <v/>
      </c>
      <c r="W70" s="31">
        <f>IF($A70="","",IF($M70-$T70&gt;0,$V70/($M70-$T70),""))</f>
        <v/>
      </c>
      <c r="X70" s="35">
        <f>IF($A70="","",DATE(YEAR($A70),MONTH($A70),1))</f>
        <v/>
      </c>
    </row>
    <row r="71">
      <c r="A71" s="18" t="n"/>
      <c r="B71" s="13" t="n"/>
      <c r="C71" s="13" t="n"/>
      <c r="D71" s="26" t="n"/>
      <c r="E71" s="12" t="n"/>
      <c r="F71" s="12" t="n"/>
      <c r="G71" s="12" t="n"/>
      <c r="H71" s="12" t="n"/>
      <c r="I71" s="13" t="n"/>
      <c r="J71" s="13" t="n"/>
      <c r="K71" s="12" t="n"/>
      <c r="L71" s="13" t="n"/>
      <c r="M71" s="15">
        <f>IF($A71="","",IF($D71="",1,$D71)*$E71+$F71-$H71)</f>
        <v/>
      </c>
      <c r="N71" s="15">
        <f>IF($A71="","",IF($B71="Etsy",IF($D71="",1,$D71)*Settings!$C$19,0))</f>
        <v/>
      </c>
      <c r="O71" s="15">
        <f>IF($A71="","",IF($B71="Etsy",Settings!$C$20*($M71+IF(Settings!$C$54="Y",0,$H71)),0))</f>
        <v/>
      </c>
      <c r="P71" s="15">
        <f>IF($A71="","",IF($B71="Etsy",Settings!$C$21*$M71*(1+Settings!$C$55)+Settings!$C$22,IF($B71="Shopify",Settings!$C$14*$M71+Settings!$C$15,0)))</f>
        <v/>
      </c>
      <c r="Q71" s="15">
        <f>IF($A71="","",IF(AND($B71="Etsy",$I71="Y"),MIN(Settings!$C$12*($M71+IF(Settings!$C$54="Y",0,$H71)),Settings!$C$25),0))</f>
        <v/>
      </c>
      <c r="R71" s="15">
        <f>IF($A71="","",IF(AND($B71="Etsy",$J71="Y",$L71="Y",$M71&gt;0),($O71+Settings!$C$21*$M71*(1+Settings!$C$55)+IF(Settings!$C$59="Y",$Q71,0))*$T71/$M71+IF(AND(Settings!$C$58="Y",$T71&gt;=$M71),Settings!$C$22,0),0))</f>
        <v/>
      </c>
      <c r="S71" s="15">
        <f>IF($A71="","",$N71+$O71+$P71+$Q71-$R71)</f>
        <v/>
      </c>
      <c r="T71" s="15">
        <f>IF($A71="","",IF($J71="Y",IF($K71="",$M71,MIN($K71,$M71)),0))</f>
        <v/>
      </c>
      <c r="U71" s="15">
        <f>IF($A71="","",IF($D71="",1,$D71)*IFERROR(INDEX(Products!$F$5:$F$54,MATCH($C71,Products!$A$5:$A$54,0)),0))</f>
        <v/>
      </c>
      <c r="V71" s="27">
        <f>IF($A71="","",$M71-$T71-$S71-$U71-$G71)</f>
        <v/>
      </c>
      <c r="W71" s="31">
        <f>IF($A71="","",IF($M71-$T71&gt;0,$V71/($M71-$T71),""))</f>
        <v/>
      </c>
      <c r="X71" s="35">
        <f>IF($A71="","",DATE(YEAR($A71),MONTH($A71),1))</f>
        <v/>
      </c>
    </row>
    <row r="72">
      <c r="A72" s="18" t="n"/>
      <c r="B72" s="13" t="n"/>
      <c r="C72" s="13" t="n"/>
      <c r="D72" s="26" t="n"/>
      <c r="E72" s="12" t="n"/>
      <c r="F72" s="12" t="n"/>
      <c r="G72" s="12" t="n"/>
      <c r="H72" s="12" t="n"/>
      <c r="I72" s="13" t="n"/>
      <c r="J72" s="13" t="n"/>
      <c r="K72" s="12" t="n"/>
      <c r="L72" s="13" t="n"/>
      <c r="M72" s="15">
        <f>IF($A72="","",IF($D72="",1,$D72)*$E72+$F72-$H72)</f>
        <v/>
      </c>
      <c r="N72" s="15">
        <f>IF($A72="","",IF($B72="Etsy",IF($D72="",1,$D72)*Settings!$C$19,0))</f>
        <v/>
      </c>
      <c r="O72" s="15">
        <f>IF($A72="","",IF($B72="Etsy",Settings!$C$20*($M72+IF(Settings!$C$54="Y",0,$H72)),0))</f>
        <v/>
      </c>
      <c r="P72" s="15">
        <f>IF($A72="","",IF($B72="Etsy",Settings!$C$21*$M72*(1+Settings!$C$55)+Settings!$C$22,IF($B72="Shopify",Settings!$C$14*$M72+Settings!$C$15,0)))</f>
        <v/>
      </c>
      <c r="Q72" s="15">
        <f>IF($A72="","",IF(AND($B72="Etsy",$I72="Y"),MIN(Settings!$C$12*($M72+IF(Settings!$C$54="Y",0,$H72)),Settings!$C$25),0))</f>
        <v/>
      </c>
      <c r="R72" s="15">
        <f>IF($A72="","",IF(AND($B72="Etsy",$J72="Y",$L72="Y",$M72&gt;0),($O72+Settings!$C$21*$M72*(1+Settings!$C$55)+IF(Settings!$C$59="Y",$Q72,0))*$T72/$M72+IF(AND(Settings!$C$58="Y",$T72&gt;=$M72),Settings!$C$22,0),0))</f>
        <v/>
      </c>
      <c r="S72" s="15">
        <f>IF($A72="","",$N72+$O72+$P72+$Q72-$R72)</f>
        <v/>
      </c>
      <c r="T72" s="15">
        <f>IF($A72="","",IF($J72="Y",IF($K72="",$M72,MIN($K72,$M72)),0))</f>
        <v/>
      </c>
      <c r="U72" s="15">
        <f>IF($A72="","",IF($D72="",1,$D72)*IFERROR(INDEX(Products!$F$5:$F$54,MATCH($C72,Products!$A$5:$A$54,0)),0))</f>
        <v/>
      </c>
      <c r="V72" s="27">
        <f>IF($A72="","",$M72-$T72-$S72-$U72-$G72)</f>
        <v/>
      </c>
      <c r="W72" s="31">
        <f>IF($A72="","",IF($M72-$T72&gt;0,$V72/($M72-$T72),""))</f>
        <v/>
      </c>
      <c r="X72" s="35">
        <f>IF($A72="","",DATE(YEAR($A72),MONTH($A72),1))</f>
        <v/>
      </c>
    </row>
    <row r="73">
      <c r="A73" s="18" t="n"/>
      <c r="B73" s="13" t="n"/>
      <c r="C73" s="13" t="n"/>
      <c r="D73" s="26" t="n"/>
      <c r="E73" s="12" t="n"/>
      <c r="F73" s="12" t="n"/>
      <c r="G73" s="12" t="n"/>
      <c r="H73" s="12" t="n"/>
      <c r="I73" s="13" t="n"/>
      <c r="J73" s="13" t="n"/>
      <c r="K73" s="12" t="n"/>
      <c r="L73" s="13" t="n"/>
      <c r="M73" s="15">
        <f>IF($A73="","",IF($D73="",1,$D73)*$E73+$F73-$H73)</f>
        <v/>
      </c>
      <c r="N73" s="15">
        <f>IF($A73="","",IF($B73="Etsy",IF($D73="",1,$D73)*Settings!$C$19,0))</f>
        <v/>
      </c>
      <c r="O73" s="15">
        <f>IF($A73="","",IF($B73="Etsy",Settings!$C$20*($M73+IF(Settings!$C$54="Y",0,$H73)),0))</f>
        <v/>
      </c>
      <c r="P73" s="15">
        <f>IF($A73="","",IF($B73="Etsy",Settings!$C$21*$M73*(1+Settings!$C$55)+Settings!$C$22,IF($B73="Shopify",Settings!$C$14*$M73+Settings!$C$15,0)))</f>
        <v/>
      </c>
      <c r="Q73" s="15">
        <f>IF($A73="","",IF(AND($B73="Etsy",$I73="Y"),MIN(Settings!$C$12*($M73+IF(Settings!$C$54="Y",0,$H73)),Settings!$C$25),0))</f>
        <v/>
      </c>
      <c r="R73" s="15">
        <f>IF($A73="","",IF(AND($B73="Etsy",$J73="Y",$L73="Y",$M73&gt;0),($O73+Settings!$C$21*$M73*(1+Settings!$C$55)+IF(Settings!$C$59="Y",$Q73,0))*$T73/$M73+IF(AND(Settings!$C$58="Y",$T73&gt;=$M73),Settings!$C$22,0),0))</f>
        <v/>
      </c>
      <c r="S73" s="15">
        <f>IF($A73="","",$N73+$O73+$P73+$Q73-$R73)</f>
        <v/>
      </c>
      <c r="T73" s="15">
        <f>IF($A73="","",IF($J73="Y",IF($K73="",$M73,MIN($K73,$M73)),0))</f>
        <v/>
      </c>
      <c r="U73" s="15">
        <f>IF($A73="","",IF($D73="",1,$D73)*IFERROR(INDEX(Products!$F$5:$F$54,MATCH($C73,Products!$A$5:$A$54,0)),0))</f>
        <v/>
      </c>
      <c r="V73" s="27">
        <f>IF($A73="","",$M73-$T73-$S73-$U73-$G73)</f>
        <v/>
      </c>
      <c r="W73" s="31">
        <f>IF($A73="","",IF($M73-$T73&gt;0,$V73/($M73-$T73),""))</f>
        <v/>
      </c>
      <c r="X73" s="35">
        <f>IF($A73="","",DATE(YEAR($A73),MONTH($A73),1))</f>
        <v/>
      </c>
    </row>
    <row r="74">
      <c r="A74" s="18" t="n"/>
      <c r="B74" s="13" t="n"/>
      <c r="C74" s="13" t="n"/>
      <c r="D74" s="26" t="n"/>
      <c r="E74" s="12" t="n"/>
      <c r="F74" s="12" t="n"/>
      <c r="G74" s="12" t="n"/>
      <c r="H74" s="12" t="n"/>
      <c r="I74" s="13" t="n"/>
      <c r="J74" s="13" t="n"/>
      <c r="K74" s="12" t="n"/>
      <c r="L74" s="13" t="n"/>
      <c r="M74" s="15">
        <f>IF($A74="","",IF($D74="",1,$D74)*$E74+$F74-$H74)</f>
        <v/>
      </c>
      <c r="N74" s="15">
        <f>IF($A74="","",IF($B74="Etsy",IF($D74="",1,$D74)*Settings!$C$19,0))</f>
        <v/>
      </c>
      <c r="O74" s="15">
        <f>IF($A74="","",IF($B74="Etsy",Settings!$C$20*($M74+IF(Settings!$C$54="Y",0,$H74)),0))</f>
        <v/>
      </c>
      <c r="P74" s="15">
        <f>IF($A74="","",IF($B74="Etsy",Settings!$C$21*$M74*(1+Settings!$C$55)+Settings!$C$22,IF($B74="Shopify",Settings!$C$14*$M74+Settings!$C$15,0)))</f>
        <v/>
      </c>
      <c r="Q74" s="15">
        <f>IF($A74="","",IF(AND($B74="Etsy",$I74="Y"),MIN(Settings!$C$12*($M74+IF(Settings!$C$54="Y",0,$H74)),Settings!$C$25),0))</f>
        <v/>
      </c>
      <c r="R74" s="15">
        <f>IF($A74="","",IF(AND($B74="Etsy",$J74="Y",$L74="Y",$M74&gt;0),($O74+Settings!$C$21*$M74*(1+Settings!$C$55)+IF(Settings!$C$59="Y",$Q74,0))*$T74/$M74+IF(AND(Settings!$C$58="Y",$T74&gt;=$M74),Settings!$C$22,0),0))</f>
        <v/>
      </c>
      <c r="S74" s="15">
        <f>IF($A74="","",$N74+$O74+$P74+$Q74-$R74)</f>
        <v/>
      </c>
      <c r="T74" s="15">
        <f>IF($A74="","",IF($J74="Y",IF($K74="",$M74,MIN($K74,$M74)),0))</f>
        <v/>
      </c>
      <c r="U74" s="15">
        <f>IF($A74="","",IF($D74="",1,$D74)*IFERROR(INDEX(Products!$F$5:$F$54,MATCH($C74,Products!$A$5:$A$54,0)),0))</f>
        <v/>
      </c>
      <c r="V74" s="27">
        <f>IF($A74="","",$M74-$T74-$S74-$U74-$G74)</f>
        <v/>
      </c>
      <c r="W74" s="31">
        <f>IF($A74="","",IF($M74-$T74&gt;0,$V74/($M74-$T74),""))</f>
        <v/>
      </c>
      <c r="X74" s="35">
        <f>IF($A74="","",DATE(YEAR($A74),MONTH($A74),1))</f>
        <v/>
      </c>
    </row>
    <row r="75">
      <c r="A75" s="18" t="n"/>
      <c r="B75" s="13" t="n"/>
      <c r="C75" s="13" t="n"/>
      <c r="D75" s="26" t="n"/>
      <c r="E75" s="12" t="n"/>
      <c r="F75" s="12" t="n"/>
      <c r="G75" s="12" t="n"/>
      <c r="H75" s="12" t="n"/>
      <c r="I75" s="13" t="n"/>
      <c r="J75" s="13" t="n"/>
      <c r="K75" s="12" t="n"/>
      <c r="L75" s="13" t="n"/>
      <c r="M75" s="15">
        <f>IF($A75="","",IF($D75="",1,$D75)*$E75+$F75-$H75)</f>
        <v/>
      </c>
      <c r="N75" s="15">
        <f>IF($A75="","",IF($B75="Etsy",IF($D75="",1,$D75)*Settings!$C$19,0))</f>
        <v/>
      </c>
      <c r="O75" s="15">
        <f>IF($A75="","",IF($B75="Etsy",Settings!$C$20*($M75+IF(Settings!$C$54="Y",0,$H75)),0))</f>
        <v/>
      </c>
      <c r="P75" s="15">
        <f>IF($A75="","",IF($B75="Etsy",Settings!$C$21*$M75*(1+Settings!$C$55)+Settings!$C$22,IF($B75="Shopify",Settings!$C$14*$M75+Settings!$C$15,0)))</f>
        <v/>
      </c>
      <c r="Q75" s="15">
        <f>IF($A75="","",IF(AND($B75="Etsy",$I75="Y"),MIN(Settings!$C$12*($M75+IF(Settings!$C$54="Y",0,$H75)),Settings!$C$25),0))</f>
        <v/>
      </c>
      <c r="R75" s="15">
        <f>IF($A75="","",IF(AND($B75="Etsy",$J75="Y",$L75="Y",$M75&gt;0),($O75+Settings!$C$21*$M75*(1+Settings!$C$55)+IF(Settings!$C$59="Y",$Q75,0))*$T75/$M75+IF(AND(Settings!$C$58="Y",$T75&gt;=$M75),Settings!$C$22,0),0))</f>
        <v/>
      </c>
      <c r="S75" s="15">
        <f>IF($A75="","",$N75+$O75+$P75+$Q75-$R75)</f>
        <v/>
      </c>
      <c r="T75" s="15">
        <f>IF($A75="","",IF($J75="Y",IF($K75="",$M75,MIN($K75,$M75)),0))</f>
        <v/>
      </c>
      <c r="U75" s="15">
        <f>IF($A75="","",IF($D75="",1,$D75)*IFERROR(INDEX(Products!$F$5:$F$54,MATCH($C75,Products!$A$5:$A$54,0)),0))</f>
        <v/>
      </c>
      <c r="V75" s="27">
        <f>IF($A75="","",$M75-$T75-$S75-$U75-$G75)</f>
        <v/>
      </c>
      <c r="W75" s="31">
        <f>IF($A75="","",IF($M75-$T75&gt;0,$V75/($M75-$T75),""))</f>
        <v/>
      </c>
      <c r="X75" s="35">
        <f>IF($A75="","",DATE(YEAR($A75),MONTH($A75),1))</f>
        <v/>
      </c>
    </row>
    <row r="76">
      <c r="A76" s="18" t="n"/>
      <c r="B76" s="13" t="n"/>
      <c r="C76" s="13" t="n"/>
      <c r="D76" s="26" t="n"/>
      <c r="E76" s="12" t="n"/>
      <c r="F76" s="12" t="n"/>
      <c r="G76" s="12" t="n"/>
      <c r="H76" s="12" t="n"/>
      <c r="I76" s="13" t="n"/>
      <c r="J76" s="13" t="n"/>
      <c r="K76" s="12" t="n"/>
      <c r="L76" s="13" t="n"/>
      <c r="M76" s="15">
        <f>IF($A76="","",IF($D76="",1,$D76)*$E76+$F76-$H76)</f>
        <v/>
      </c>
      <c r="N76" s="15">
        <f>IF($A76="","",IF($B76="Etsy",IF($D76="",1,$D76)*Settings!$C$19,0))</f>
        <v/>
      </c>
      <c r="O76" s="15">
        <f>IF($A76="","",IF($B76="Etsy",Settings!$C$20*($M76+IF(Settings!$C$54="Y",0,$H76)),0))</f>
        <v/>
      </c>
      <c r="P76" s="15">
        <f>IF($A76="","",IF($B76="Etsy",Settings!$C$21*$M76*(1+Settings!$C$55)+Settings!$C$22,IF($B76="Shopify",Settings!$C$14*$M76+Settings!$C$15,0)))</f>
        <v/>
      </c>
      <c r="Q76" s="15">
        <f>IF($A76="","",IF(AND($B76="Etsy",$I76="Y"),MIN(Settings!$C$12*($M76+IF(Settings!$C$54="Y",0,$H76)),Settings!$C$25),0))</f>
        <v/>
      </c>
      <c r="R76" s="15">
        <f>IF($A76="","",IF(AND($B76="Etsy",$J76="Y",$L76="Y",$M76&gt;0),($O76+Settings!$C$21*$M76*(1+Settings!$C$55)+IF(Settings!$C$59="Y",$Q76,0))*$T76/$M76+IF(AND(Settings!$C$58="Y",$T76&gt;=$M76),Settings!$C$22,0),0))</f>
        <v/>
      </c>
      <c r="S76" s="15">
        <f>IF($A76="","",$N76+$O76+$P76+$Q76-$R76)</f>
        <v/>
      </c>
      <c r="T76" s="15">
        <f>IF($A76="","",IF($J76="Y",IF($K76="",$M76,MIN($K76,$M76)),0))</f>
        <v/>
      </c>
      <c r="U76" s="15">
        <f>IF($A76="","",IF($D76="",1,$D76)*IFERROR(INDEX(Products!$F$5:$F$54,MATCH($C76,Products!$A$5:$A$54,0)),0))</f>
        <v/>
      </c>
      <c r="V76" s="27">
        <f>IF($A76="","",$M76-$T76-$S76-$U76-$G76)</f>
        <v/>
      </c>
      <c r="W76" s="31">
        <f>IF($A76="","",IF($M76-$T76&gt;0,$V76/($M76-$T76),""))</f>
        <v/>
      </c>
      <c r="X76" s="35">
        <f>IF($A76="","",DATE(YEAR($A76),MONTH($A76),1))</f>
        <v/>
      </c>
    </row>
    <row r="77">
      <c r="A77" s="18" t="n"/>
      <c r="B77" s="13" t="n"/>
      <c r="C77" s="13" t="n"/>
      <c r="D77" s="26" t="n"/>
      <c r="E77" s="12" t="n"/>
      <c r="F77" s="12" t="n"/>
      <c r="G77" s="12" t="n"/>
      <c r="H77" s="12" t="n"/>
      <c r="I77" s="13" t="n"/>
      <c r="J77" s="13" t="n"/>
      <c r="K77" s="12" t="n"/>
      <c r="L77" s="13" t="n"/>
      <c r="M77" s="15">
        <f>IF($A77="","",IF($D77="",1,$D77)*$E77+$F77-$H77)</f>
        <v/>
      </c>
      <c r="N77" s="15">
        <f>IF($A77="","",IF($B77="Etsy",IF($D77="",1,$D77)*Settings!$C$19,0))</f>
        <v/>
      </c>
      <c r="O77" s="15">
        <f>IF($A77="","",IF($B77="Etsy",Settings!$C$20*($M77+IF(Settings!$C$54="Y",0,$H77)),0))</f>
        <v/>
      </c>
      <c r="P77" s="15">
        <f>IF($A77="","",IF($B77="Etsy",Settings!$C$21*$M77*(1+Settings!$C$55)+Settings!$C$22,IF($B77="Shopify",Settings!$C$14*$M77+Settings!$C$15,0)))</f>
        <v/>
      </c>
      <c r="Q77" s="15">
        <f>IF($A77="","",IF(AND($B77="Etsy",$I77="Y"),MIN(Settings!$C$12*($M77+IF(Settings!$C$54="Y",0,$H77)),Settings!$C$25),0))</f>
        <v/>
      </c>
      <c r="R77" s="15">
        <f>IF($A77="","",IF(AND($B77="Etsy",$J77="Y",$L77="Y",$M77&gt;0),($O77+Settings!$C$21*$M77*(1+Settings!$C$55)+IF(Settings!$C$59="Y",$Q77,0))*$T77/$M77+IF(AND(Settings!$C$58="Y",$T77&gt;=$M77),Settings!$C$22,0),0))</f>
        <v/>
      </c>
      <c r="S77" s="15">
        <f>IF($A77="","",$N77+$O77+$P77+$Q77-$R77)</f>
        <v/>
      </c>
      <c r="T77" s="15">
        <f>IF($A77="","",IF($J77="Y",IF($K77="",$M77,MIN($K77,$M77)),0))</f>
        <v/>
      </c>
      <c r="U77" s="15">
        <f>IF($A77="","",IF($D77="",1,$D77)*IFERROR(INDEX(Products!$F$5:$F$54,MATCH($C77,Products!$A$5:$A$54,0)),0))</f>
        <v/>
      </c>
      <c r="V77" s="27">
        <f>IF($A77="","",$M77-$T77-$S77-$U77-$G77)</f>
        <v/>
      </c>
      <c r="W77" s="31">
        <f>IF($A77="","",IF($M77-$T77&gt;0,$V77/($M77-$T77),""))</f>
        <v/>
      </c>
      <c r="X77" s="35">
        <f>IF($A77="","",DATE(YEAR($A77),MONTH($A77),1))</f>
        <v/>
      </c>
    </row>
    <row r="78">
      <c r="A78" s="18" t="n"/>
      <c r="B78" s="13" t="n"/>
      <c r="C78" s="13" t="n"/>
      <c r="D78" s="26" t="n"/>
      <c r="E78" s="12" t="n"/>
      <c r="F78" s="12" t="n"/>
      <c r="G78" s="12" t="n"/>
      <c r="H78" s="12" t="n"/>
      <c r="I78" s="13" t="n"/>
      <c r="J78" s="13" t="n"/>
      <c r="K78" s="12" t="n"/>
      <c r="L78" s="13" t="n"/>
      <c r="M78" s="15">
        <f>IF($A78="","",IF($D78="",1,$D78)*$E78+$F78-$H78)</f>
        <v/>
      </c>
      <c r="N78" s="15">
        <f>IF($A78="","",IF($B78="Etsy",IF($D78="",1,$D78)*Settings!$C$19,0))</f>
        <v/>
      </c>
      <c r="O78" s="15">
        <f>IF($A78="","",IF($B78="Etsy",Settings!$C$20*($M78+IF(Settings!$C$54="Y",0,$H78)),0))</f>
        <v/>
      </c>
      <c r="P78" s="15">
        <f>IF($A78="","",IF($B78="Etsy",Settings!$C$21*$M78*(1+Settings!$C$55)+Settings!$C$22,IF($B78="Shopify",Settings!$C$14*$M78+Settings!$C$15,0)))</f>
        <v/>
      </c>
      <c r="Q78" s="15">
        <f>IF($A78="","",IF(AND($B78="Etsy",$I78="Y"),MIN(Settings!$C$12*($M78+IF(Settings!$C$54="Y",0,$H78)),Settings!$C$25),0))</f>
        <v/>
      </c>
      <c r="R78" s="15">
        <f>IF($A78="","",IF(AND($B78="Etsy",$J78="Y",$L78="Y",$M78&gt;0),($O78+Settings!$C$21*$M78*(1+Settings!$C$55)+IF(Settings!$C$59="Y",$Q78,0))*$T78/$M78+IF(AND(Settings!$C$58="Y",$T78&gt;=$M78),Settings!$C$22,0),0))</f>
        <v/>
      </c>
      <c r="S78" s="15">
        <f>IF($A78="","",$N78+$O78+$P78+$Q78-$R78)</f>
        <v/>
      </c>
      <c r="T78" s="15">
        <f>IF($A78="","",IF($J78="Y",IF($K78="",$M78,MIN($K78,$M78)),0))</f>
        <v/>
      </c>
      <c r="U78" s="15">
        <f>IF($A78="","",IF($D78="",1,$D78)*IFERROR(INDEX(Products!$F$5:$F$54,MATCH($C78,Products!$A$5:$A$54,0)),0))</f>
        <v/>
      </c>
      <c r="V78" s="27">
        <f>IF($A78="","",$M78-$T78-$S78-$U78-$G78)</f>
        <v/>
      </c>
      <c r="W78" s="31">
        <f>IF($A78="","",IF($M78-$T78&gt;0,$V78/($M78-$T78),""))</f>
        <v/>
      </c>
      <c r="X78" s="35">
        <f>IF($A78="","",DATE(YEAR($A78),MONTH($A78),1))</f>
        <v/>
      </c>
    </row>
    <row r="79">
      <c r="A79" s="18" t="n"/>
      <c r="B79" s="13" t="n"/>
      <c r="C79" s="13" t="n"/>
      <c r="D79" s="26" t="n"/>
      <c r="E79" s="12" t="n"/>
      <c r="F79" s="12" t="n"/>
      <c r="G79" s="12" t="n"/>
      <c r="H79" s="12" t="n"/>
      <c r="I79" s="13" t="n"/>
      <c r="J79" s="13" t="n"/>
      <c r="K79" s="12" t="n"/>
      <c r="L79" s="13" t="n"/>
      <c r="M79" s="15">
        <f>IF($A79="","",IF($D79="",1,$D79)*$E79+$F79-$H79)</f>
        <v/>
      </c>
      <c r="N79" s="15">
        <f>IF($A79="","",IF($B79="Etsy",IF($D79="",1,$D79)*Settings!$C$19,0))</f>
        <v/>
      </c>
      <c r="O79" s="15">
        <f>IF($A79="","",IF($B79="Etsy",Settings!$C$20*($M79+IF(Settings!$C$54="Y",0,$H79)),0))</f>
        <v/>
      </c>
      <c r="P79" s="15">
        <f>IF($A79="","",IF($B79="Etsy",Settings!$C$21*$M79*(1+Settings!$C$55)+Settings!$C$22,IF($B79="Shopify",Settings!$C$14*$M79+Settings!$C$15,0)))</f>
        <v/>
      </c>
      <c r="Q79" s="15">
        <f>IF($A79="","",IF(AND($B79="Etsy",$I79="Y"),MIN(Settings!$C$12*($M79+IF(Settings!$C$54="Y",0,$H79)),Settings!$C$25),0))</f>
        <v/>
      </c>
      <c r="R79" s="15">
        <f>IF($A79="","",IF(AND($B79="Etsy",$J79="Y",$L79="Y",$M79&gt;0),($O79+Settings!$C$21*$M79*(1+Settings!$C$55)+IF(Settings!$C$59="Y",$Q79,0))*$T79/$M79+IF(AND(Settings!$C$58="Y",$T79&gt;=$M79),Settings!$C$22,0),0))</f>
        <v/>
      </c>
      <c r="S79" s="15">
        <f>IF($A79="","",$N79+$O79+$P79+$Q79-$R79)</f>
        <v/>
      </c>
      <c r="T79" s="15">
        <f>IF($A79="","",IF($J79="Y",IF($K79="",$M79,MIN($K79,$M79)),0))</f>
        <v/>
      </c>
      <c r="U79" s="15">
        <f>IF($A79="","",IF($D79="",1,$D79)*IFERROR(INDEX(Products!$F$5:$F$54,MATCH($C79,Products!$A$5:$A$54,0)),0))</f>
        <v/>
      </c>
      <c r="V79" s="27">
        <f>IF($A79="","",$M79-$T79-$S79-$U79-$G79)</f>
        <v/>
      </c>
      <c r="W79" s="31">
        <f>IF($A79="","",IF($M79-$T79&gt;0,$V79/($M79-$T79),""))</f>
        <v/>
      </c>
      <c r="X79" s="35">
        <f>IF($A79="","",DATE(YEAR($A79),MONTH($A79),1))</f>
        <v/>
      </c>
    </row>
    <row r="80">
      <c r="A80" s="18" t="n"/>
      <c r="B80" s="13" t="n"/>
      <c r="C80" s="13" t="n"/>
      <c r="D80" s="26" t="n"/>
      <c r="E80" s="12" t="n"/>
      <c r="F80" s="12" t="n"/>
      <c r="G80" s="12" t="n"/>
      <c r="H80" s="12" t="n"/>
      <c r="I80" s="13" t="n"/>
      <c r="J80" s="13" t="n"/>
      <c r="K80" s="12" t="n"/>
      <c r="L80" s="13" t="n"/>
      <c r="M80" s="15">
        <f>IF($A80="","",IF($D80="",1,$D80)*$E80+$F80-$H80)</f>
        <v/>
      </c>
      <c r="N80" s="15">
        <f>IF($A80="","",IF($B80="Etsy",IF($D80="",1,$D80)*Settings!$C$19,0))</f>
        <v/>
      </c>
      <c r="O80" s="15">
        <f>IF($A80="","",IF($B80="Etsy",Settings!$C$20*($M80+IF(Settings!$C$54="Y",0,$H80)),0))</f>
        <v/>
      </c>
      <c r="P80" s="15">
        <f>IF($A80="","",IF($B80="Etsy",Settings!$C$21*$M80*(1+Settings!$C$55)+Settings!$C$22,IF($B80="Shopify",Settings!$C$14*$M80+Settings!$C$15,0)))</f>
        <v/>
      </c>
      <c r="Q80" s="15">
        <f>IF($A80="","",IF(AND($B80="Etsy",$I80="Y"),MIN(Settings!$C$12*($M80+IF(Settings!$C$54="Y",0,$H80)),Settings!$C$25),0))</f>
        <v/>
      </c>
      <c r="R80" s="15">
        <f>IF($A80="","",IF(AND($B80="Etsy",$J80="Y",$L80="Y",$M80&gt;0),($O80+Settings!$C$21*$M80*(1+Settings!$C$55)+IF(Settings!$C$59="Y",$Q80,0))*$T80/$M80+IF(AND(Settings!$C$58="Y",$T80&gt;=$M80),Settings!$C$22,0),0))</f>
        <v/>
      </c>
      <c r="S80" s="15">
        <f>IF($A80="","",$N80+$O80+$P80+$Q80-$R80)</f>
        <v/>
      </c>
      <c r="T80" s="15">
        <f>IF($A80="","",IF($J80="Y",IF($K80="",$M80,MIN($K80,$M80)),0))</f>
        <v/>
      </c>
      <c r="U80" s="15">
        <f>IF($A80="","",IF($D80="",1,$D80)*IFERROR(INDEX(Products!$F$5:$F$54,MATCH($C80,Products!$A$5:$A$54,0)),0))</f>
        <v/>
      </c>
      <c r="V80" s="27">
        <f>IF($A80="","",$M80-$T80-$S80-$U80-$G80)</f>
        <v/>
      </c>
      <c r="W80" s="31">
        <f>IF($A80="","",IF($M80-$T80&gt;0,$V80/($M80-$T80),""))</f>
        <v/>
      </c>
      <c r="X80" s="35">
        <f>IF($A80="","",DATE(YEAR($A80),MONTH($A80),1))</f>
        <v/>
      </c>
    </row>
    <row r="81">
      <c r="A81" s="18" t="n"/>
      <c r="B81" s="13" t="n"/>
      <c r="C81" s="13" t="n"/>
      <c r="D81" s="26" t="n"/>
      <c r="E81" s="12" t="n"/>
      <c r="F81" s="12" t="n"/>
      <c r="G81" s="12" t="n"/>
      <c r="H81" s="12" t="n"/>
      <c r="I81" s="13" t="n"/>
      <c r="J81" s="13" t="n"/>
      <c r="K81" s="12" t="n"/>
      <c r="L81" s="13" t="n"/>
      <c r="M81" s="15">
        <f>IF($A81="","",IF($D81="",1,$D81)*$E81+$F81-$H81)</f>
        <v/>
      </c>
      <c r="N81" s="15">
        <f>IF($A81="","",IF($B81="Etsy",IF($D81="",1,$D81)*Settings!$C$19,0))</f>
        <v/>
      </c>
      <c r="O81" s="15">
        <f>IF($A81="","",IF($B81="Etsy",Settings!$C$20*($M81+IF(Settings!$C$54="Y",0,$H81)),0))</f>
        <v/>
      </c>
      <c r="P81" s="15">
        <f>IF($A81="","",IF($B81="Etsy",Settings!$C$21*$M81*(1+Settings!$C$55)+Settings!$C$22,IF($B81="Shopify",Settings!$C$14*$M81+Settings!$C$15,0)))</f>
        <v/>
      </c>
      <c r="Q81" s="15">
        <f>IF($A81="","",IF(AND($B81="Etsy",$I81="Y"),MIN(Settings!$C$12*($M81+IF(Settings!$C$54="Y",0,$H81)),Settings!$C$25),0))</f>
        <v/>
      </c>
      <c r="R81" s="15">
        <f>IF($A81="","",IF(AND($B81="Etsy",$J81="Y",$L81="Y",$M81&gt;0),($O81+Settings!$C$21*$M81*(1+Settings!$C$55)+IF(Settings!$C$59="Y",$Q81,0))*$T81/$M81+IF(AND(Settings!$C$58="Y",$T81&gt;=$M81),Settings!$C$22,0),0))</f>
        <v/>
      </c>
      <c r="S81" s="15">
        <f>IF($A81="","",$N81+$O81+$P81+$Q81-$R81)</f>
        <v/>
      </c>
      <c r="T81" s="15">
        <f>IF($A81="","",IF($J81="Y",IF($K81="",$M81,MIN($K81,$M81)),0))</f>
        <v/>
      </c>
      <c r="U81" s="15">
        <f>IF($A81="","",IF($D81="",1,$D81)*IFERROR(INDEX(Products!$F$5:$F$54,MATCH($C81,Products!$A$5:$A$54,0)),0))</f>
        <v/>
      </c>
      <c r="V81" s="27">
        <f>IF($A81="","",$M81-$T81-$S81-$U81-$G81)</f>
        <v/>
      </c>
      <c r="W81" s="31">
        <f>IF($A81="","",IF($M81-$T81&gt;0,$V81/($M81-$T81),""))</f>
        <v/>
      </c>
      <c r="X81" s="35">
        <f>IF($A81="","",DATE(YEAR($A81),MONTH($A81),1))</f>
        <v/>
      </c>
    </row>
    <row r="82">
      <c r="A82" s="18" t="n"/>
      <c r="B82" s="13" t="n"/>
      <c r="C82" s="13" t="n"/>
      <c r="D82" s="26" t="n"/>
      <c r="E82" s="12" t="n"/>
      <c r="F82" s="12" t="n"/>
      <c r="G82" s="12" t="n"/>
      <c r="H82" s="12" t="n"/>
      <c r="I82" s="13" t="n"/>
      <c r="J82" s="13" t="n"/>
      <c r="K82" s="12" t="n"/>
      <c r="L82" s="13" t="n"/>
      <c r="M82" s="15">
        <f>IF($A82="","",IF($D82="",1,$D82)*$E82+$F82-$H82)</f>
        <v/>
      </c>
      <c r="N82" s="15">
        <f>IF($A82="","",IF($B82="Etsy",IF($D82="",1,$D82)*Settings!$C$19,0))</f>
        <v/>
      </c>
      <c r="O82" s="15">
        <f>IF($A82="","",IF($B82="Etsy",Settings!$C$20*($M82+IF(Settings!$C$54="Y",0,$H82)),0))</f>
        <v/>
      </c>
      <c r="P82" s="15">
        <f>IF($A82="","",IF($B82="Etsy",Settings!$C$21*$M82*(1+Settings!$C$55)+Settings!$C$22,IF($B82="Shopify",Settings!$C$14*$M82+Settings!$C$15,0)))</f>
        <v/>
      </c>
      <c r="Q82" s="15">
        <f>IF($A82="","",IF(AND($B82="Etsy",$I82="Y"),MIN(Settings!$C$12*($M82+IF(Settings!$C$54="Y",0,$H82)),Settings!$C$25),0))</f>
        <v/>
      </c>
      <c r="R82" s="15">
        <f>IF($A82="","",IF(AND($B82="Etsy",$J82="Y",$L82="Y",$M82&gt;0),($O82+Settings!$C$21*$M82*(1+Settings!$C$55)+IF(Settings!$C$59="Y",$Q82,0))*$T82/$M82+IF(AND(Settings!$C$58="Y",$T82&gt;=$M82),Settings!$C$22,0),0))</f>
        <v/>
      </c>
      <c r="S82" s="15">
        <f>IF($A82="","",$N82+$O82+$P82+$Q82-$R82)</f>
        <v/>
      </c>
      <c r="T82" s="15">
        <f>IF($A82="","",IF($J82="Y",IF($K82="",$M82,MIN($K82,$M82)),0))</f>
        <v/>
      </c>
      <c r="U82" s="15">
        <f>IF($A82="","",IF($D82="",1,$D82)*IFERROR(INDEX(Products!$F$5:$F$54,MATCH($C82,Products!$A$5:$A$54,0)),0))</f>
        <v/>
      </c>
      <c r="V82" s="27">
        <f>IF($A82="","",$M82-$T82-$S82-$U82-$G82)</f>
        <v/>
      </c>
      <c r="W82" s="31">
        <f>IF($A82="","",IF($M82-$T82&gt;0,$V82/($M82-$T82),""))</f>
        <v/>
      </c>
      <c r="X82" s="35">
        <f>IF($A82="","",DATE(YEAR($A82),MONTH($A82),1))</f>
        <v/>
      </c>
    </row>
    <row r="83">
      <c r="A83" s="18" t="n"/>
      <c r="B83" s="13" t="n"/>
      <c r="C83" s="13" t="n"/>
      <c r="D83" s="26" t="n"/>
      <c r="E83" s="12" t="n"/>
      <c r="F83" s="12" t="n"/>
      <c r="G83" s="12" t="n"/>
      <c r="H83" s="12" t="n"/>
      <c r="I83" s="13" t="n"/>
      <c r="J83" s="13" t="n"/>
      <c r="K83" s="12" t="n"/>
      <c r="L83" s="13" t="n"/>
      <c r="M83" s="15">
        <f>IF($A83="","",IF($D83="",1,$D83)*$E83+$F83-$H83)</f>
        <v/>
      </c>
      <c r="N83" s="15">
        <f>IF($A83="","",IF($B83="Etsy",IF($D83="",1,$D83)*Settings!$C$19,0))</f>
        <v/>
      </c>
      <c r="O83" s="15">
        <f>IF($A83="","",IF($B83="Etsy",Settings!$C$20*($M83+IF(Settings!$C$54="Y",0,$H83)),0))</f>
        <v/>
      </c>
      <c r="P83" s="15">
        <f>IF($A83="","",IF($B83="Etsy",Settings!$C$21*$M83*(1+Settings!$C$55)+Settings!$C$22,IF($B83="Shopify",Settings!$C$14*$M83+Settings!$C$15,0)))</f>
        <v/>
      </c>
      <c r="Q83" s="15">
        <f>IF($A83="","",IF(AND($B83="Etsy",$I83="Y"),MIN(Settings!$C$12*($M83+IF(Settings!$C$54="Y",0,$H83)),Settings!$C$25),0))</f>
        <v/>
      </c>
      <c r="R83" s="15">
        <f>IF($A83="","",IF(AND($B83="Etsy",$J83="Y",$L83="Y",$M83&gt;0),($O83+Settings!$C$21*$M83*(1+Settings!$C$55)+IF(Settings!$C$59="Y",$Q83,0))*$T83/$M83+IF(AND(Settings!$C$58="Y",$T83&gt;=$M83),Settings!$C$22,0),0))</f>
        <v/>
      </c>
      <c r="S83" s="15">
        <f>IF($A83="","",$N83+$O83+$P83+$Q83-$R83)</f>
        <v/>
      </c>
      <c r="T83" s="15">
        <f>IF($A83="","",IF($J83="Y",IF($K83="",$M83,MIN($K83,$M83)),0))</f>
        <v/>
      </c>
      <c r="U83" s="15">
        <f>IF($A83="","",IF($D83="",1,$D83)*IFERROR(INDEX(Products!$F$5:$F$54,MATCH($C83,Products!$A$5:$A$54,0)),0))</f>
        <v/>
      </c>
      <c r="V83" s="27">
        <f>IF($A83="","",$M83-$T83-$S83-$U83-$G83)</f>
        <v/>
      </c>
      <c r="W83" s="31">
        <f>IF($A83="","",IF($M83-$T83&gt;0,$V83/($M83-$T83),""))</f>
        <v/>
      </c>
      <c r="X83" s="35">
        <f>IF($A83="","",DATE(YEAR($A83),MONTH($A83),1))</f>
        <v/>
      </c>
    </row>
    <row r="84">
      <c r="A84" s="18" t="n"/>
      <c r="B84" s="13" t="n"/>
      <c r="C84" s="13" t="n"/>
      <c r="D84" s="26" t="n"/>
      <c r="E84" s="12" t="n"/>
      <c r="F84" s="12" t="n"/>
      <c r="G84" s="12" t="n"/>
      <c r="H84" s="12" t="n"/>
      <c r="I84" s="13" t="n"/>
      <c r="J84" s="13" t="n"/>
      <c r="K84" s="12" t="n"/>
      <c r="L84" s="13" t="n"/>
      <c r="M84" s="15">
        <f>IF($A84="","",IF($D84="",1,$D84)*$E84+$F84-$H84)</f>
        <v/>
      </c>
      <c r="N84" s="15">
        <f>IF($A84="","",IF($B84="Etsy",IF($D84="",1,$D84)*Settings!$C$19,0))</f>
        <v/>
      </c>
      <c r="O84" s="15">
        <f>IF($A84="","",IF($B84="Etsy",Settings!$C$20*($M84+IF(Settings!$C$54="Y",0,$H84)),0))</f>
        <v/>
      </c>
      <c r="P84" s="15">
        <f>IF($A84="","",IF($B84="Etsy",Settings!$C$21*$M84*(1+Settings!$C$55)+Settings!$C$22,IF($B84="Shopify",Settings!$C$14*$M84+Settings!$C$15,0)))</f>
        <v/>
      </c>
      <c r="Q84" s="15">
        <f>IF($A84="","",IF(AND($B84="Etsy",$I84="Y"),MIN(Settings!$C$12*($M84+IF(Settings!$C$54="Y",0,$H84)),Settings!$C$25),0))</f>
        <v/>
      </c>
      <c r="R84" s="15">
        <f>IF($A84="","",IF(AND($B84="Etsy",$J84="Y",$L84="Y",$M84&gt;0),($O84+Settings!$C$21*$M84*(1+Settings!$C$55)+IF(Settings!$C$59="Y",$Q84,0))*$T84/$M84+IF(AND(Settings!$C$58="Y",$T84&gt;=$M84),Settings!$C$22,0),0))</f>
        <v/>
      </c>
      <c r="S84" s="15">
        <f>IF($A84="","",$N84+$O84+$P84+$Q84-$R84)</f>
        <v/>
      </c>
      <c r="T84" s="15">
        <f>IF($A84="","",IF($J84="Y",IF($K84="",$M84,MIN($K84,$M84)),0))</f>
        <v/>
      </c>
      <c r="U84" s="15">
        <f>IF($A84="","",IF($D84="",1,$D84)*IFERROR(INDEX(Products!$F$5:$F$54,MATCH($C84,Products!$A$5:$A$54,0)),0))</f>
        <v/>
      </c>
      <c r="V84" s="27">
        <f>IF($A84="","",$M84-$T84-$S84-$U84-$G84)</f>
        <v/>
      </c>
      <c r="W84" s="31">
        <f>IF($A84="","",IF($M84-$T84&gt;0,$V84/($M84-$T84),""))</f>
        <v/>
      </c>
      <c r="X84" s="35">
        <f>IF($A84="","",DATE(YEAR($A84),MONTH($A84),1))</f>
        <v/>
      </c>
    </row>
    <row r="85">
      <c r="A85" s="18" t="n"/>
      <c r="B85" s="13" t="n"/>
      <c r="C85" s="13" t="n"/>
      <c r="D85" s="26" t="n"/>
      <c r="E85" s="12" t="n"/>
      <c r="F85" s="12" t="n"/>
      <c r="G85" s="12" t="n"/>
      <c r="H85" s="12" t="n"/>
      <c r="I85" s="13" t="n"/>
      <c r="J85" s="13" t="n"/>
      <c r="K85" s="12" t="n"/>
      <c r="L85" s="13" t="n"/>
      <c r="M85" s="15">
        <f>IF($A85="","",IF($D85="",1,$D85)*$E85+$F85-$H85)</f>
        <v/>
      </c>
      <c r="N85" s="15">
        <f>IF($A85="","",IF($B85="Etsy",IF($D85="",1,$D85)*Settings!$C$19,0))</f>
        <v/>
      </c>
      <c r="O85" s="15">
        <f>IF($A85="","",IF($B85="Etsy",Settings!$C$20*($M85+IF(Settings!$C$54="Y",0,$H85)),0))</f>
        <v/>
      </c>
      <c r="P85" s="15">
        <f>IF($A85="","",IF($B85="Etsy",Settings!$C$21*$M85*(1+Settings!$C$55)+Settings!$C$22,IF($B85="Shopify",Settings!$C$14*$M85+Settings!$C$15,0)))</f>
        <v/>
      </c>
      <c r="Q85" s="15">
        <f>IF($A85="","",IF(AND($B85="Etsy",$I85="Y"),MIN(Settings!$C$12*($M85+IF(Settings!$C$54="Y",0,$H85)),Settings!$C$25),0))</f>
        <v/>
      </c>
      <c r="R85" s="15">
        <f>IF($A85="","",IF(AND($B85="Etsy",$J85="Y",$L85="Y",$M85&gt;0),($O85+Settings!$C$21*$M85*(1+Settings!$C$55)+IF(Settings!$C$59="Y",$Q85,0))*$T85/$M85+IF(AND(Settings!$C$58="Y",$T85&gt;=$M85),Settings!$C$22,0),0))</f>
        <v/>
      </c>
      <c r="S85" s="15">
        <f>IF($A85="","",$N85+$O85+$P85+$Q85-$R85)</f>
        <v/>
      </c>
      <c r="T85" s="15">
        <f>IF($A85="","",IF($J85="Y",IF($K85="",$M85,MIN($K85,$M85)),0))</f>
        <v/>
      </c>
      <c r="U85" s="15">
        <f>IF($A85="","",IF($D85="",1,$D85)*IFERROR(INDEX(Products!$F$5:$F$54,MATCH($C85,Products!$A$5:$A$54,0)),0))</f>
        <v/>
      </c>
      <c r="V85" s="27">
        <f>IF($A85="","",$M85-$T85-$S85-$U85-$G85)</f>
        <v/>
      </c>
      <c r="W85" s="31">
        <f>IF($A85="","",IF($M85-$T85&gt;0,$V85/($M85-$T85),""))</f>
        <v/>
      </c>
      <c r="X85" s="35">
        <f>IF($A85="","",DATE(YEAR($A85),MONTH($A85),1))</f>
        <v/>
      </c>
    </row>
    <row r="86">
      <c r="A86" s="18" t="n"/>
      <c r="B86" s="13" t="n"/>
      <c r="C86" s="13" t="n"/>
      <c r="D86" s="26" t="n"/>
      <c r="E86" s="12" t="n"/>
      <c r="F86" s="12" t="n"/>
      <c r="G86" s="12" t="n"/>
      <c r="H86" s="12" t="n"/>
      <c r="I86" s="13" t="n"/>
      <c r="J86" s="13" t="n"/>
      <c r="K86" s="12" t="n"/>
      <c r="L86" s="13" t="n"/>
      <c r="M86" s="15">
        <f>IF($A86="","",IF($D86="",1,$D86)*$E86+$F86-$H86)</f>
        <v/>
      </c>
      <c r="N86" s="15">
        <f>IF($A86="","",IF($B86="Etsy",IF($D86="",1,$D86)*Settings!$C$19,0))</f>
        <v/>
      </c>
      <c r="O86" s="15">
        <f>IF($A86="","",IF($B86="Etsy",Settings!$C$20*($M86+IF(Settings!$C$54="Y",0,$H86)),0))</f>
        <v/>
      </c>
      <c r="P86" s="15">
        <f>IF($A86="","",IF($B86="Etsy",Settings!$C$21*$M86*(1+Settings!$C$55)+Settings!$C$22,IF($B86="Shopify",Settings!$C$14*$M86+Settings!$C$15,0)))</f>
        <v/>
      </c>
      <c r="Q86" s="15">
        <f>IF($A86="","",IF(AND($B86="Etsy",$I86="Y"),MIN(Settings!$C$12*($M86+IF(Settings!$C$54="Y",0,$H86)),Settings!$C$25),0))</f>
        <v/>
      </c>
      <c r="R86" s="15">
        <f>IF($A86="","",IF(AND($B86="Etsy",$J86="Y",$L86="Y",$M86&gt;0),($O86+Settings!$C$21*$M86*(1+Settings!$C$55)+IF(Settings!$C$59="Y",$Q86,0))*$T86/$M86+IF(AND(Settings!$C$58="Y",$T86&gt;=$M86),Settings!$C$22,0),0))</f>
        <v/>
      </c>
      <c r="S86" s="15">
        <f>IF($A86="","",$N86+$O86+$P86+$Q86-$R86)</f>
        <v/>
      </c>
      <c r="T86" s="15">
        <f>IF($A86="","",IF($J86="Y",IF($K86="",$M86,MIN($K86,$M86)),0))</f>
        <v/>
      </c>
      <c r="U86" s="15">
        <f>IF($A86="","",IF($D86="",1,$D86)*IFERROR(INDEX(Products!$F$5:$F$54,MATCH($C86,Products!$A$5:$A$54,0)),0))</f>
        <v/>
      </c>
      <c r="V86" s="27">
        <f>IF($A86="","",$M86-$T86-$S86-$U86-$G86)</f>
        <v/>
      </c>
      <c r="W86" s="31">
        <f>IF($A86="","",IF($M86-$T86&gt;0,$V86/($M86-$T86),""))</f>
        <v/>
      </c>
      <c r="X86" s="35">
        <f>IF($A86="","",DATE(YEAR($A86),MONTH($A86),1))</f>
        <v/>
      </c>
    </row>
    <row r="87">
      <c r="A87" s="18" t="n"/>
      <c r="B87" s="13" t="n"/>
      <c r="C87" s="13" t="n"/>
      <c r="D87" s="26" t="n"/>
      <c r="E87" s="12" t="n"/>
      <c r="F87" s="12" t="n"/>
      <c r="G87" s="12" t="n"/>
      <c r="H87" s="12" t="n"/>
      <c r="I87" s="13" t="n"/>
      <c r="J87" s="13" t="n"/>
      <c r="K87" s="12" t="n"/>
      <c r="L87" s="13" t="n"/>
      <c r="M87" s="15">
        <f>IF($A87="","",IF($D87="",1,$D87)*$E87+$F87-$H87)</f>
        <v/>
      </c>
      <c r="N87" s="15">
        <f>IF($A87="","",IF($B87="Etsy",IF($D87="",1,$D87)*Settings!$C$19,0))</f>
        <v/>
      </c>
      <c r="O87" s="15">
        <f>IF($A87="","",IF($B87="Etsy",Settings!$C$20*($M87+IF(Settings!$C$54="Y",0,$H87)),0))</f>
        <v/>
      </c>
      <c r="P87" s="15">
        <f>IF($A87="","",IF($B87="Etsy",Settings!$C$21*$M87*(1+Settings!$C$55)+Settings!$C$22,IF($B87="Shopify",Settings!$C$14*$M87+Settings!$C$15,0)))</f>
        <v/>
      </c>
      <c r="Q87" s="15">
        <f>IF($A87="","",IF(AND($B87="Etsy",$I87="Y"),MIN(Settings!$C$12*($M87+IF(Settings!$C$54="Y",0,$H87)),Settings!$C$25),0))</f>
        <v/>
      </c>
      <c r="R87" s="15">
        <f>IF($A87="","",IF(AND($B87="Etsy",$J87="Y",$L87="Y",$M87&gt;0),($O87+Settings!$C$21*$M87*(1+Settings!$C$55)+IF(Settings!$C$59="Y",$Q87,0))*$T87/$M87+IF(AND(Settings!$C$58="Y",$T87&gt;=$M87),Settings!$C$22,0),0))</f>
        <v/>
      </c>
      <c r="S87" s="15">
        <f>IF($A87="","",$N87+$O87+$P87+$Q87-$R87)</f>
        <v/>
      </c>
      <c r="T87" s="15">
        <f>IF($A87="","",IF($J87="Y",IF($K87="",$M87,MIN($K87,$M87)),0))</f>
        <v/>
      </c>
      <c r="U87" s="15">
        <f>IF($A87="","",IF($D87="",1,$D87)*IFERROR(INDEX(Products!$F$5:$F$54,MATCH($C87,Products!$A$5:$A$54,0)),0))</f>
        <v/>
      </c>
      <c r="V87" s="27">
        <f>IF($A87="","",$M87-$T87-$S87-$U87-$G87)</f>
        <v/>
      </c>
      <c r="W87" s="31">
        <f>IF($A87="","",IF($M87-$T87&gt;0,$V87/($M87-$T87),""))</f>
        <v/>
      </c>
      <c r="X87" s="35">
        <f>IF($A87="","",DATE(YEAR($A87),MONTH($A87),1))</f>
        <v/>
      </c>
    </row>
    <row r="88">
      <c r="A88" s="18" t="n"/>
      <c r="B88" s="13" t="n"/>
      <c r="C88" s="13" t="n"/>
      <c r="D88" s="26" t="n"/>
      <c r="E88" s="12" t="n"/>
      <c r="F88" s="12" t="n"/>
      <c r="G88" s="12" t="n"/>
      <c r="H88" s="12" t="n"/>
      <c r="I88" s="13" t="n"/>
      <c r="J88" s="13" t="n"/>
      <c r="K88" s="12" t="n"/>
      <c r="L88" s="13" t="n"/>
      <c r="M88" s="15">
        <f>IF($A88="","",IF($D88="",1,$D88)*$E88+$F88-$H88)</f>
        <v/>
      </c>
      <c r="N88" s="15">
        <f>IF($A88="","",IF($B88="Etsy",IF($D88="",1,$D88)*Settings!$C$19,0))</f>
        <v/>
      </c>
      <c r="O88" s="15">
        <f>IF($A88="","",IF($B88="Etsy",Settings!$C$20*($M88+IF(Settings!$C$54="Y",0,$H88)),0))</f>
        <v/>
      </c>
      <c r="P88" s="15">
        <f>IF($A88="","",IF($B88="Etsy",Settings!$C$21*$M88*(1+Settings!$C$55)+Settings!$C$22,IF($B88="Shopify",Settings!$C$14*$M88+Settings!$C$15,0)))</f>
        <v/>
      </c>
      <c r="Q88" s="15">
        <f>IF($A88="","",IF(AND($B88="Etsy",$I88="Y"),MIN(Settings!$C$12*($M88+IF(Settings!$C$54="Y",0,$H88)),Settings!$C$25),0))</f>
        <v/>
      </c>
      <c r="R88" s="15">
        <f>IF($A88="","",IF(AND($B88="Etsy",$J88="Y",$L88="Y",$M88&gt;0),($O88+Settings!$C$21*$M88*(1+Settings!$C$55)+IF(Settings!$C$59="Y",$Q88,0))*$T88/$M88+IF(AND(Settings!$C$58="Y",$T88&gt;=$M88),Settings!$C$22,0),0))</f>
        <v/>
      </c>
      <c r="S88" s="15">
        <f>IF($A88="","",$N88+$O88+$P88+$Q88-$R88)</f>
        <v/>
      </c>
      <c r="T88" s="15">
        <f>IF($A88="","",IF($J88="Y",IF($K88="",$M88,MIN($K88,$M88)),0))</f>
        <v/>
      </c>
      <c r="U88" s="15">
        <f>IF($A88="","",IF($D88="",1,$D88)*IFERROR(INDEX(Products!$F$5:$F$54,MATCH($C88,Products!$A$5:$A$54,0)),0))</f>
        <v/>
      </c>
      <c r="V88" s="27">
        <f>IF($A88="","",$M88-$T88-$S88-$U88-$G88)</f>
        <v/>
      </c>
      <c r="W88" s="31">
        <f>IF($A88="","",IF($M88-$T88&gt;0,$V88/($M88-$T88),""))</f>
        <v/>
      </c>
      <c r="X88" s="35">
        <f>IF($A88="","",DATE(YEAR($A88),MONTH($A88),1))</f>
        <v/>
      </c>
    </row>
    <row r="89">
      <c r="A89" s="18" t="n"/>
      <c r="B89" s="13" t="n"/>
      <c r="C89" s="13" t="n"/>
      <c r="D89" s="26" t="n"/>
      <c r="E89" s="12" t="n"/>
      <c r="F89" s="12" t="n"/>
      <c r="G89" s="12" t="n"/>
      <c r="H89" s="12" t="n"/>
      <c r="I89" s="13" t="n"/>
      <c r="J89" s="13" t="n"/>
      <c r="K89" s="12" t="n"/>
      <c r="L89" s="13" t="n"/>
      <c r="M89" s="15">
        <f>IF($A89="","",IF($D89="",1,$D89)*$E89+$F89-$H89)</f>
        <v/>
      </c>
      <c r="N89" s="15">
        <f>IF($A89="","",IF($B89="Etsy",IF($D89="",1,$D89)*Settings!$C$19,0))</f>
        <v/>
      </c>
      <c r="O89" s="15">
        <f>IF($A89="","",IF($B89="Etsy",Settings!$C$20*($M89+IF(Settings!$C$54="Y",0,$H89)),0))</f>
        <v/>
      </c>
      <c r="P89" s="15">
        <f>IF($A89="","",IF($B89="Etsy",Settings!$C$21*$M89*(1+Settings!$C$55)+Settings!$C$22,IF($B89="Shopify",Settings!$C$14*$M89+Settings!$C$15,0)))</f>
        <v/>
      </c>
      <c r="Q89" s="15">
        <f>IF($A89="","",IF(AND($B89="Etsy",$I89="Y"),MIN(Settings!$C$12*($M89+IF(Settings!$C$54="Y",0,$H89)),Settings!$C$25),0))</f>
        <v/>
      </c>
      <c r="R89" s="15">
        <f>IF($A89="","",IF(AND($B89="Etsy",$J89="Y",$L89="Y",$M89&gt;0),($O89+Settings!$C$21*$M89*(1+Settings!$C$55)+IF(Settings!$C$59="Y",$Q89,0))*$T89/$M89+IF(AND(Settings!$C$58="Y",$T89&gt;=$M89),Settings!$C$22,0),0))</f>
        <v/>
      </c>
      <c r="S89" s="15">
        <f>IF($A89="","",$N89+$O89+$P89+$Q89-$R89)</f>
        <v/>
      </c>
      <c r="T89" s="15">
        <f>IF($A89="","",IF($J89="Y",IF($K89="",$M89,MIN($K89,$M89)),0))</f>
        <v/>
      </c>
      <c r="U89" s="15">
        <f>IF($A89="","",IF($D89="",1,$D89)*IFERROR(INDEX(Products!$F$5:$F$54,MATCH($C89,Products!$A$5:$A$54,0)),0))</f>
        <v/>
      </c>
      <c r="V89" s="27">
        <f>IF($A89="","",$M89-$T89-$S89-$U89-$G89)</f>
        <v/>
      </c>
      <c r="W89" s="31">
        <f>IF($A89="","",IF($M89-$T89&gt;0,$V89/($M89-$T89),""))</f>
        <v/>
      </c>
      <c r="X89" s="35">
        <f>IF($A89="","",DATE(YEAR($A89),MONTH($A89),1))</f>
        <v/>
      </c>
    </row>
    <row r="90">
      <c r="A90" s="18" t="n"/>
      <c r="B90" s="13" t="n"/>
      <c r="C90" s="13" t="n"/>
      <c r="D90" s="26" t="n"/>
      <c r="E90" s="12" t="n"/>
      <c r="F90" s="12" t="n"/>
      <c r="G90" s="12" t="n"/>
      <c r="H90" s="12" t="n"/>
      <c r="I90" s="13" t="n"/>
      <c r="J90" s="13" t="n"/>
      <c r="K90" s="12" t="n"/>
      <c r="L90" s="13" t="n"/>
      <c r="M90" s="15">
        <f>IF($A90="","",IF($D90="",1,$D90)*$E90+$F90-$H90)</f>
        <v/>
      </c>
      <c r="N90" s="15">
        <f>IF($A90="","",IF($B90="Etsy",IF($D90="",1,$D90)*Settings!$C$19,0))</f>
        <v/>
      </c>
      <c r="O90" s="15">
        <f>IF($A90="","",IF($B90="Etsy",Settings!$C$20*($M90+IF(Settings!$C$54="Y",0,$H90)),0))</f>
        <v/>
      </c>
      <c r="P90" s="15">
        <f>IF($A90="","",IF($B90="Etsy",Settings!$C$21*$M90*(1+Settings!$C$55)+Settings!$C$22,IF($B90="Shopify",Settings!$C$14*$M90+Settings!$C$15,0)))</f>
        <v/>
      </c>
      <c r="Q90" s="15">
        <f>IF($A90="","",IF(AND($B90="Etsy",$I90="Y"),MIN(Settings!$C$12*($M90+IF(Settings!$C$54="Y",0,$H90)),Settings!$C$25),0))</f>
        <v/>
      </c>
      <c r="R90" s="15">
        <f>IF($A90="","",IF(AND($B90="Etsy",$J90="Y",$L90="Y",$M90&gt;0),($O90+Settings!$C$21*$M90*(1+Settings!$C$55)+IF(Settings!$C$59="Y",$Q90,0))*$T90/$M90+IF(AND(Settings!$C$58="Y",$T90&gt;=$M90),Settings!$C$22,0),0))</f>
        <v/>
      </c>
      <c r="S90" s="15">
        <f>IF($A90="","",$N90+$O90+$P90+$Q90-$R90)</f>
        <v/>
      </c>
      <c r="T90" s="15">
        <f>IF($A90="","",IF($J90="Y",IF($K90="",$M90,MIN($K90,$M90)),0))</f>
        <v/>
      </c>
      <c r="U90" s="15">
        <f>IF($A90="","",IF($D90="",1,$D90)*IFERROR(INDEX(Products!$F$5:$F$54,MATCH($C90,Products!$A$5:$A$54,0)),0))</f>
        <v/>
      </c>
      <c r="V90" s="27">
        <f>IF($A90="","",$M90-$T90-$S90-$U90-$G90)</f>
        <v/>
      </c>
      <c r="W90" s="31">
        <f>IF($A90="","",IF($M90-$T90&gt;0,$V90/($M90-$T90),""))</f>
        <v/>
      </c>
      <c r="X90" s="35">
        <f>IF($A90="","",DATE(YEAR($A90),MONTH($A90),1))</f>
        <v/>
      </c>
    </row>
    <row r="91">
      <c r="A91" s="18" t="n"/>
      <c r="B91" s="13" t="n"/>
      <c r="C91" s="13" t="n"/>
      <c r="D91" s="26" t="n"/>
      <c r="E91" s="12" t="n"/>
      <c r="F91" s="12" t="n"/>
      <c r="G91" s="12" t="n"/>
      <c r="H91" s="12" t="n"/>
      <c r="I91" s="13" t="n"/>
      <c r="J91" s="13" t="n"/>
      <c r="K91" s="12" t="n"/>
      <c r="L91" s="13" t="n"/>
      <c r="M91" s="15">
        <f>IF($A91="","",IF($D91="",1,$D91)*$E91+$F91-$H91)</f>
        <v/>
      </c>
      <c r="N91" s="15">
        <f>IF($A91="","",IF($B91="Etsy",IF($D91="",1,$D91)*Settings!$C$19,0))</f>
        <v/>
      </c>
      <c r="O91" s="15">
        <f>IF($A91="","",IF($B91="Etsy",Settings!$C$20*($M91+IF(Settings!$C$54="Y",0,$H91)),0))</f>
        <v/>
      </c>
      <c r="P91" s="15">
        <f>IF($A91="","",IF($B91="Etsy",Settings!$C$21*$M91*(1+Settings!$C$55)+Settings!$C$22,IF($B91="Shopify",Settings!$C$14*$M91+Settings!$C$15,0)))</f>
        <v/>
      </c>
      <c r="Q91" s="15">
        <f>IF($A91="","",IF(AND($B91="Etsy",$I91="Y"),MIN(Settings!$C$12*($M91+IF(Settings!$C$54="Y",0,$H91)),Settings!$C$25),0))</f>
        <v/>
      </c>
      <c r="R91" s="15">
        <f>IF($A91="","",IF(AND($B91="Etsy",$J91="Y",$L91="Y",$M91&gt;0),($O91+Settings!$C$21*$M91*(1+Settings!$C$55)+IF(Settings!$C$59="Y",$Q91,0))*$T91/$M91+IF(AND(Settings!$C$58="Y",$T91&gt;=$M91),Settings!$C$22,0),0))</f>
        <v/>
      </c>
      <c r="S91" s="15">
        <f>IF($A91="","",$N91+$O91+$P91+$Q91-$R91)</f>
        <v/>
      </c>
      <c r="T91" s="15">
        <f>IF($A91="","",IF($J91="Y",IF($K91="",$M91,MIN($K91,$M91)),0))</f>
        <v/>
      </c>
      <c r="U91" s="15">
        <f>IF($A91="","",IF($D91="",1,$D91)*IFERROR(INDEX(Products!$F$5:$F$54,MATCH($C91,Products!$A$5:$A$54,0)),0))</f>
        <v/>
      </c>
      <c r="V91" s="27">
        <f>IF($A91="","",$M91-$T91-$S91-$U91-$G91)</f>
        <v/>
      </c>
      <c r="W91" s="31">
        <f>IF($A91="","",IF($M91-$T91&gt;0,$V91/($M91-$T91),""))</f>
        <v/>
      </c>
      <c r="X91" s="35">
        <f>IF($A91="","",DATE(YEAR($A91),MONTH($A91),1))</f>
        <v/>
      </c>
    </row>
    <row r="92">
      <c r="A92" s="18" t="n"/>
      <c r="B92" s="13" t="n"/>
      <c r="C92" s="13" t="n"/>
      <c r="D92" s="26" t="n"/>
      <c r="E92" s="12" t="n"/>
      <c r="F92" s="12" t="n"/>
      <c r="G92" s="12" t="n"/>
      <c r="H92" s="12" t="n"/>
      <c r="I92" s="13" t="n"/>
      <c r="J92" s="13" t="n"/>
      <c r="K92" s="12" t="n"/>
      <c r="L92" s="13" t="n"/>
      <c r="M92" s="15">
        <f>IF($A92="","",IF($D92="",1,$D92)*$E92+$F92-$H92)</f>
        <v/>
      </c>
      <c r="N92" s="15">
        <f>IF($A92="","",IF($B92="Etsy",IF($D92="",1,$D92)*Settings!$C$19,0))</f>
        <v/>
      </c>
      <c r="O92" s="15">
        <f>IF($A92="","",IF($B92="Etsy",Settings!$C$20*($M92+IF(Settings!$C$54="Y",0,$H92)),0))</f>
        <v/>
      </c>
      <c r="P92" s="15">
        <f>IF($A92="","",IF($B92="Etsy",Settings!$C$21*$M92*(1+Settings!$C$55)+Settings!$C$22,IF($B92="Shopify",Settings!$C$14*$M92+Settings!$C$15,0)))</f>
        <v/>
      </c>
      <c r="Q92" s="15">
        <f>IF($A92="","",IF(AND($B92="Etsy",$I92="Y"),MIN(Settings!$C$12*($M92+IF(Settings!$C$54="Y",0,$H92)),Settings!$C$25),0))</f>
        <v/>
      </c>
      <c r="R92" s="15">
        <f>IF($A92="","",IF(AND($B92="Etsy",$J92="Y",$L92="Y",$M92&gt;0),($O92+Settings!$C$21*$M92*(1+Settings!$C$55)+IF(Settings!$C$59="Y",$Q92,0))*$T92/$M92+IF(AND(Settings!$C$58="Y",$T92&gt;=$M92),Settings!$C$22,0),0))</f>
        <v/>
      </c>
      <c r="S92" s="15">
        <f>IF($A92="","",$N92+$O92+$P92+$Q92-$R92)</f>
        <v/>
      </c>
      <c r="T92" s="15">
        <f>IF($A92="","",IF($J92="Y",IF($K92="",$M92,MIN($K92,$M92)),0))</f>
        <v/>
      </c>
      <c r="U92" s="15">
        <f>IF($A92="","",IF($D92="",1,$D92)*IFERROR(INDEX(Products!$F$5:$F$54,MATCH($C92,Products!$A$5:$A$54,0)),0))</f>
        <v/>
      </c>
      <c r="V92" s="27">
        <f>IF($A92="","",$M92-$T92-$S92-$U92-$G92)</f>
        <v/>
      </c>
      <c r="W92" s="31">
        <f>IF($A92="","",IF($M92-$T92&gt;0,$V92/($M92-$T92),""))</f>
        <v/>
      </c>
      <c r="X92" s="35">
        <f>IF($A92="","",DATE(YEAR($A92),MONTH($A92),1))</f>
        <v/>
      </c>
    </row>
    <row r="93">
      <c r="A93" s="18" t="n"/>
      <c r="B93" s="13" t="n"/>
      <c r="C93" s="13" t="n"/>
      <c r="D93" s="26" t="n"/>
      <c r="E93" s="12" t="n"/>
      <c r="F93" s="12" t="n"/>
      <c r="G93" s="12" t="n"/>
      <c r="H93" s="12" t="n"/>
      <c r="I93" s="13" t="n"/>
      <c r="J93" s="13" t="n"/>
      <c r="K93" s="12" t="n"/>
      <c r="L93" s="13" t="n"/>
      <c r="M93" s="15">
        <f>IF($A93="","",IF($D93="",1,$D93)*$E93+$F93-$H93)</f>
        <v/>
      </c>
      <c r="N93" s="15">
        <f>IF($A93="","",IF($B93="Etsy",IF($D93="",1,$D93)*Settings!$C$19,0))</f>
        <v/>
      </c>
      <c r="O93" s="15">
        <f>IF($A93="","",IF($B93="Etsy",Settings!$C$20*($M93+IF(Settings!$C$54="Y",0,$H93)),0))</f>
        <v/>
      </c>
      <c r="P93" s="15">
        <f>IF($A93="","",IF($B93="Etsy",Settings!$C$21*$M93*(1+Settings!$C$55)+Settings!$C$22,IF($B93="Shopify",Settings!$C$14*$M93+Settings!$C$15,0)))</f>
        <v/>
      </c>
      <c r="Q93" s="15">
        <f>IF($A93="","",IF(AND($B93="Etsy",$I93="Y"),MIN(Settings!$C$12*($M93+IF(Settings!$C$54="Y",0,$H93)),Settings!$C$25),0))</f>
        <v/>
      </c>
      <c r="R93" s="15">
        <f>IF($A93="","",IF(AND($B93="Etsy",$J93="Y",$L93="Y",$M93&gt;0),($O93+Settings!$C$21*$M93*(1+Settings!$C$55)+IF(Settings!$C$59="Y",$Q93,0))*$T93/$M93+IF(AND(Settings!$C$58="Y",$T93&gt;=$M93),Settings!$C$22,0),0))</f>
        <v/>
      </c>
      <c r="S93" s="15">
        <f>IF($A93="","",$N93+$O93+$P93+$Q93-$R93)</f>
        <v/>
      </c>
      <c r="T93" s="15">
        <f>IF($A93="","",IF($J93="Y",IF($K93="",$M93,MIN($K93,$M93)),0))</f>
        <v/>
      </c>
      <c r="U93" s="15">
        <f>IF($A93="","",IF($D93="",1,$D93)*IFERROR(INDEX(Products!$F$5:$F$54,MATCH($C93,Products!$A$5:$A$54,0)),0))</f>
        <v/>
      </c>
      <c r="V93" s="27">
        <f>IF($A93="","",$M93-$T93-$S93-$U93-$G93)</f>
        <v/>
      </c>
      <c r="W93" s="31">
        <f>IF($A93="","",IF($M93-$T93&gt;0,$V93/($M93-$T93),""))</f>
        <v/>
      </c>
      <c r="X93" s="35">
        <f>IF($A93="","",DATE(YEAR($A93),MONTH($A93),1))</f>
        <v/>
      </c>
    </row>
    <row r="94">
      <c r="A94" s="18" t="n"/>
      <c r="B94" s="13" t="n"/>
      <c r="C94" s="13" t="n"/>
      <c r="D94" s="26" t="n"/>
      <c r="E94" s="12" t="n"/>
      <c r="F94" s="12" t="n"/>
      <c r="G94" s="12" t="n"/>
      <c r="H94" s="12" t="n"/>
      <c r="I94" s="13" t="n"/>
      <c r="J94" s="13" t="n"/>
      <c r="K94" s="12" t="n"/>
      <c r="L94" s="13" t="n"/>
      <c r="M94" s="15">
        <f>IF($A94="","",IF($D94="",1,$D94)*$E94+$F94-$H94)</f>
        <v/>
      </c>
      <c r="N94" s="15">
        <f>IF($A94="","",IF($B94="Etsy",IF($D94="",1,$D94)*Settings!$C$19,0))</f>
        <v/>
      </c>
      <c r="O94" s="15">
        <f>IF($A94="","",IF($B94="Etsy",Settings!$C$20*($M94+IF(Settings!$C$54="Y",0,$H94)),0))</f>
        <v/>
      </c>
      <c r="P94" s="15">
        <f>IF($A94="","",IF($B94="Etsy",Settings!$C$21*$M94*(1+Settings!$C$55)+Settings!$C$22,IF($B94="Shopify",Settings!$C$14*$M94+Settings!$C$15,0)))</f>
        <v/>
      </c>
      <c r="Q94" s="15">
        <f>IF($A94="","",IF(AND($B94="Etsy",$I94="Y"),MIN(Settings!$C$12*($M94+IF(Settings!$C$54="Y",0,$H94)),Settings!$C$25),0))</f>
        <v/>
      </c>
      <c r="R94" s="15">
        <f>IF($A94="","",IF(AND($B94="Etsy",$J94="Y",$L94="Y",$M94&gt;0),($O94+Settings!$C$21*$M94*(1+Settings!$C$55)+IF(Settings!$C$59="Y",$Q94,0))*$T94/$M94+IF(AND(Settings!$C$58="Y",$T94&gt;=$M94),Settings!$C$22,0),0))</f>
        <v/>
      </c>
      <c r="S94" s="15">
        <f>IF($A94="","",$N94+$O94+$P94+$Q94-$R94)</f>
        <v/>
      </c>
      <c r="T94" s="15">
        <f>IF($A94="","",IF($J94="Y",IF($K94="",$M94,MIN($K94,$M94)),0))</f>
        <v/>
      </c>
      <c r="U94" s="15">
        <f>IF($A94="","",IF($D94="",1,$D94)*IFERROR(INDEX(Products!$F$5:$F$54,MATCH($C94,Products!$A$5:$A$54,0)),0))</f>
        <v/>
      </c>
      <c r="V94" s="27">
        <f>IF($A94="","",$M94-$T94-$S94-$U94-$G94)</f>
        <v/>
      </c>
      <c r="W94" s="31">
        <f>IF($A94="","",IF($M94-$T94&gt;0,$V94/($M94-$T94),""))</f>
        <v/>
      </c>
      <c r="X94" s="35">
        <f>IF($A94="","",DATE(YEAR($A94),MONTH($A94),1))</f>
        <v/>
      </c>
    </row>
    <row r="95">
      <c r="A95" s="18" t="n"/>
      <c r="B95" s="13" t="n"/>
      <c r="C95" s="13" t="n"/>
      <c r="D95" s="26" t="n"/>
      <c r="E95" s="12" t="n"/>
      <c r="F95" s="12" t="n"/>
      <c r="G95" s="12" t="n"/>
      <c r="H95" s="12" t="n"/>
      <c r="I95" s="13" t="n"/>
      <c r="J95" s="13" t="n"/>
      <c r="K95" s="12" t="n"/>
      <c r="L95" s="13" t="n"/>
      <c r="M95" s="15">
        <f>IF($A95="","",IF($D95="",1,$D95)*$E95+$F95-$H95)</f>
        <v/>
      </c>
      <c r="N95" s="15">
        <f>IF($A95="","",IF($B95="Etsy",IF($D95="",1,$D95)*Settings!$C$19,0))</f>
        <v/>
      </c>
      <c r="O95" s="15">
        <f>IF($A95="","",IF($B95="Etsy",Settings!$C$20*($M95+IF(Settings!$C$54="Y",0,$H95)),0))</f>
        <v/>
      </c>
      <c r="P95" s="15">
        <f>IF($A95="","",IF($B95="Etsy",Settings!$C$21*$M95*(1+Settings!$C$55)+Settings!$C$22,IF($B95="Shopify",Settings!$C$14*$M95+Settings!$C$15,0)))</f>
        <v/>
      </c>
      <c r="Q95" s="15">
        <f>IF($A95="","",IF(AND($B95="Etsy",$I95="Y"),MIN(Settings!$C$12*($M95+IF(Settings!$C$54="Y",0,$H95)),Settings!$C$25),0))</f>
        <v/>
      </c>
      <c r="R95" s="15">
        <f>IF($A95="","",IF(AND($B95="Etsy",$J95="Y",$L95="Y",$M95&gt;0),($O95+Settings!$C$21*$M95*(1+Settings!$C$55)+IF(Settings!$C$59="Y",$Q95,0))*$T95/$M95+IF(AND(Settings!$C$58="Y",$T95&gt;=$M95),Settings!$C$22,0),0))</f>
        <v/>
      </c>
      <c r="S95" s="15">
        <f>IF($A95="","",$N95+$O95+$P95+$Q95-$R95)</f>
        <v/>
      </c>
      <c r="T95" s="15">
        <f>IF($A95="","",IF($J95="Y",IF($K95="",$M95,MIN($K95,$M95)),0))</f>
        <v/>
      </c>
      <c r="U95" s="15">
        <f>IF($A95="","",IF($D95="",1,$D95)*IFERROR(INDEX(Products!$F$5:$F$54,MATCH($C95,Products!$A$5:$A$54,0)),0))</f>
        <v/>
      </c>
      <c r="V95" s="27">
        <f>IF($A95="","",$M95-$T95-$S95-$U95-$G95)</f>
        <v/>
      </c>
      <c r="W95" s="31">
        <f>IF($A95="","",IF($M95-$T95&gt;0,$V95/($M95-$T95),""))</f>
        <v/>
      </c>
      <c r="X95" s="35">
        <f>IF($A95="","",DATE(YEAR($A95),MONTH($A95),1))</f>
        <v/>
      </c>
    </row>
    <row r="96">
      <c r="A96" s="18" t="n"/>
      <c r="B96" s="13" t="n"/>
      <c r="C96" s="13" t="n"/>
      <c r="D96" s="26" t="n"/>
      <c r="E96" s="12" t="n"/>
      <c r="F96" s="12" t="n"/>
      <c r="G96" s="12" t="n"/>
      <c r="H96" s="12" t="n"/>
      <c r="I96" s="13" t="n"/>
      <c r="J96" s="13" t="n"/>
      <c r="K96" s="12" t="n"/>
      <c r="L96" s="13" t="n"/>
      <c r="M96" s="15">
        <f>IF($A96="","",IF($D96="",1,$D96)*$E96+$F96-$H96)</f>
        <v/>
      </c>
      <c r="N96" s="15">
        <f>IF($A96="","",IF($B96="Etsy",IF($D96="",1,$D96)*Settings!$C$19,0))</f>
        <v/>
      </c>
      <c r="O96" s="15">
        <f>IF($A96="","",IF($B96="Etsy",Settings!$C$20*($M96+IF(Settings!$C$54="Y",0,$H96)),0))</f>
        <v/>
      </c>
      <c r="P96" s="15">
        <f>IF($A96="","",IF($B96="Etsy",Settings!$C$21*$M96*(1+Settings!$C$55)+Settings!$C$22,IF($B96="Shopify",Settings!$C$14*$M96+Settings!$C$15,0)))</f>
        <v/>
      </c>
      <c r="Q96" s="15">
        <f>IF($A96="","",IF(AND($B96="Etsy",$I96="Y"),MIN(Settings!$C$12*($M96+IF(Settings!$C$54="Y",0,$H96)),Settings!$C$25),0))</f>
        <v/>
      </c>
      <c r="R96" s="15">
        <f>IF($A96="","",IF(AND($B96="Etsy",$J96="Y",$L96="Y",$M96&gt;0),($O96+Settings!$C$21*$M96*(1+Settings!$C$55)+IF(Settings!$C$59="Y",$Q96,0))*$T96/$M96+IF(AND(Settings!$C$58="Y",$T96&gt;=$M96),Settings!$C$22,0),0))</f>
        <v/>
      </c>
      <c r="S96" s="15">
        <f>IF($A96="","",$N96+$O96+$P96+$Q96-$R96)</f>
        <v/>
      </c>
      <c r="T96" s="15">
        <f>IF($A96="","",IF($J96="Y",IF($K96="",$M96,MIN($K96,$M96)),0))</f>
        <v/>
      </c>
      <c r="U96" s="15">
        <f>IF($A96="","",IF($D96="",1,$D96)*IFERROR(INDEX(Products!$F$5:$F$54,MATCH($C96,Products!$A$5:$A$54,0)),0))</f>
        <v/>
      </c>
      <c r="V96" s="27">
        <f>IF($A96="","",$M96-$T96-$S96-$U96-$G96)</f>
        <v/>
      </c>
      <c r="W96" s="31">
        <f>IF($A96="","",IF($M96-$T96&gt;0,$V96/($M96-$T96),""))</f>
        <v/>
      </c>
      <c r="X96" s="35">
        <f>IF($A96="","",DATE(YEAR($A96),MONTH($A96),1))</f>
        <v/>
      </c>
    </row>
    <row r="97">
      <c r="A97" s="18" t="n"/>
      <c r="B97" s="13" t="n"/>
      <c r="C97" s="13" t="n"/>
      <c r="D97" s="26" t="n"/>
      <c r="E97" s="12" t="n"/>
      <c r="F97" s="12" t="n"/>
      <c r="G97" s="12" t="n"/>
      <c r="H97" s="12" t="n"/>
      <c r="I97" s="13" t="n"/>
      <c r="J97" s="13" t="n"/>
      <c r="K97" s="12" t="n"/>
      <c r="L97" s="13" t="n"/>
      <c r="M97" s="15">
        <f>IF($A97="","",IF($D97="",1,$D97)*$E97+$F97-$H97)</f>
        <v/>
      </c>
      <c r="N97" s="15">
        <f>IF($A97="","",IF($B97="Etsy",IF($D97="",1,$D97)*Settings!$C$19,0))</f>
        <v/>
      </c>
      <c r="O97" s="15">
        <f>IF($A97="","",IF($B97="Etsy",Settings!$C$20*($M97+IF(Settings!$C$54="Y",0,$H97)),0))</f>
        <v/>
      </c>
      <c r="P97" s="15">
        <f>IF($A97="","",IF($B97="Etsy",Settings!$C$21*$M97*(1+Settings!$C$55)+Settings!$C$22,IF($B97="Shopify",Settings!$C$14*$M97+Settings!$C$15,0)))</f>
        <v/>
      </c>
      <c r="Q97" s="15">
        <f>IF($A97="","",IF(AND($B97="Etsy",$I97="Y"),MIN(Settings!$C$12*($M97+IF(Settings!$C$54="Y",0,$H97)),Settings!$C$25),0))</f>
        <v/>
      </c>
      <c r="R97" s="15">
        <f>IF($A97="","",IF(AND($B97="Etsy",$J97="Y",$L97="Y",$M97&gt;0),($O97+Settings!$C$21*$M97*(1+Settings!$C$55)+IF(Settings!$C$59="Y",$Q97,0))*$T97/$M97+IF(AND(Settings!$C$58="Y",$T97&gt;=$M97),Settings!$C$22,0),0))</f>
        <v/>
      </c>
      <c r="S97" s="15">
        <f>IF($A97="","",$N97+$O97+$P97+$Q97-$R97)</f>
        <v/>
      </c>
      <c r="T97" s="15">
        <f>IF($A97="","",IF($J97="Y",IF($K97="",$M97,MIN($K97,$M97)),0))</f>
        <v/>
      </c>
      <c r="U97" s="15">
        <f>IF($A97="","",IF($D97="",1,$D97)*IFERROR(INDEX(Products!$F$5:$F$54,MATCH($C97,Products!$A$5:$A$54,0)),0))</f>
        <v/>
      </c>
      <c r="V97" s="27">
        <f>IF($A97="","",$M97-$T97-$S97-$U97-$G97)</f>
        <v/>
      </c>
      <c r="W97" s="31">
        <f>IF($A97="","",IF($M97-$T97&gt;0,$V97/($M97-$T97),""))</f>
        <v/>
      </c>
      <c r="X97" s="35">
        <f>IF($A97="","",DATE(YEAR($A97),MONTH($A97),1))</f>
        <v/>
      </c>
    </row>
    <row r="98">
      <c r="A98" s="18" t="n"/>
      <c r="B98" s="13" t="n"/>
      <c r="C98" s="13" t="n"/>
      <c r="D98" s="26" t="n"/>
      <c r="E98" s="12" t="n"/>
      <c r="F98" s="12" t="n"/>
      <c r="G98" s="12" t="n"/>
      <c r="H98" s="12" t="n"/>
      <c r="I98" s="13" t="n"/>
      <c r="J98" s="13" t="n"/>
      <c r="K98" s="12" t="n"/>
      <c r="L98" s="13" t="n"/>
      <c r="M98" s="15">
        <f>IF($A98="","",IF($D98="",1,$D98)*$E98+$F98-$H98)</f>
        <v/>
      </c>
      <c r="N98" s="15">
        <f>IF($A98="","",IF($B98="Etsy",IF($D98="",1,$D98)*Settings!$C$19,0))</f>
        <v/>
      </c>
      <c r="O98" s="15">
        <f>IF($A98="","",IF($B98="Etsy",Settings!$C$20*($M98+IF(Settings!$C$54="Y",0,$H98)),0))</f>
        <v/>
      </c>
      <c r="P98" s="15">
        <f>IF($A98="","",IF($B98="Etsy",Settings!$C$21*$M98*(1+Settings!$C$55)+Settings!$C$22,IF($B98="Shopify",Settings!$C$14*$M98+Settings!$C$15,0)))</f>
        <v/>
      </c>
      <c r="Q98" s="15">
        <f>IF($A98="","",IF(AND($B98="Etsy",$I98="Y"),MIN(Settings!$C$12*($M98+IF(Settings!$C$54="Y",0,$H98)),Settings!$C$25),0))</f>
        <v/>
      </c>
      <c r="R98" s="15">
        <f>IF($A98="","",IF(AND($B98="Etsy",$J98="Y",$L98="Y",$M98&gt;0),($O98+Settings!$C$21*$M98*(1+Settings!$C$55)+IF(Settings!$C$59="Y",$Q98,0))*$T98/$M98+IF(AND(Settings!$C$58="Y",$T98&gt;=$M98),Settings!$C$22,0),0))</f>
        <v/>
      </c>
      <c r="S98" s="15">
        <f>IF($A98="","",$N98+$O98+$P98+$Q98-$R98)</f>
        <v/>
      </c>
      <c r="T98" s="15">
        <f>IF($A98="","",IF($J98="Y",IF($K98="",$M98,MIN($K98,$M98)),0))</f>
        <v/>
      </c>
      <c r="U98" s="15">
        <f>IF($A98="","",IF($D98="",1,$D98)*IFERROR(INDEX(Products!$F$5:$F$54,MATCH($C98,Products!$A$5:$A$54,0)),0))</f>
        <v/>
      </c>
      <c r="V98" s="27">
        <f>IF($A98="","",$M98-$T98-$S98-$U98-$G98)</f>
        <v/>
      </c>
      <c r="W98" s="31">
        <f>IF($A98="","",IF($M98-$T98&gt;0,$V98/($M98-$T98),""))</f>
        <v/>
      </c>
      <c r="X98" s="35">
        <f>IF($A98="","",DATE(YEAR($A98),MONTH($A98),1))</f>
        <v/>
      </c>
    </row>
    <row r="99">
      <c r="A99" s="18" t="n"/>
      <c r="B99" s="13" t="n"/>
      <c r="C99" s="13" t="n"/>
      <c r="D99" s="26" t="n"/>
      <c r="E99" s="12" t="n"/>
      <c r="F99" s="12" t="n"/>
      <c r="G99" s="12" t="n"/>
      <c r="H99" s="12" t="n"/>
      <c r="I99" s="13" t="n"/>
      <c r="J99" s="13" t="n"/>
      <c r="K99" s="12" t="n"/>
      <c r="L99" s="13" t="n"/>
      <c r="M99" s="15">
        <f>IF($A99="","",IF($D99="",1,$D99)*$E99+$F99-$H99)</f>
        <v/>
      </c>
      <c r="N99" s="15">
        <f>IF($A99="","",IF($B99="Etsy",IF($D99="",1,$D99)*Settings!$C$19,0))</f>
        <v/>
      </c>
      <c r="O99" s="15">
        <f>IF($A99="","",IF($B99="Etsy",Settings!$C$20*($M99+IF(Settings!$C$54="Y",0,$H99)),0))</f>
        <v/>
      </c>
      <c r="P99" s="15">
        <f>IF($A99="","",IF($B99="Etsy",Settings!$C$21*$M99*(1+Settings!$C$55)+Settings!$C$22,IF($B99="Shopify",Settings!$C$14*$M99+Settings!$C$15,0)))</f>
        <v/>
      </c>
      <c r="Q99" s="15">
        <f>IF($A99="","",IF(AND($B99="Etsy",$I99="Y"),MIN(Settings!$C$12*($M99+IF(Settings!$C$54="Y",0,$H99)),Settings!$C$25),0))</f>
        <v/>
      </c>
      <c r="R99" s="15">
        <f>IF($A99="","",IF(AND($B99="Etsy",$J99="Y",$L99="Y",$M99&gt;0),($O99+Settings!$C$21*$M99*(1+Settings!$C$55)+IF(Settings!$C$59="Y",$Q99,0))*$T99/$M99+IF(AND(Settings!$C$58="Y",$T99&gt;=$M99),Settings!$C$22,0),0))</f>
        <v/>
      </c>
      <c r="S99" s="15">
        <f>IF($A99="","",$N99+$O99+$P99+$Q99-$R99)</f>
        <v/>
      </c>
      <c r="T99" s="15">
        <f>IF($A99="","",IF($J99="Y",IF($K99="",$M99,MIN($K99,$M99)),0))</f>
        <v/>
      </c>
      <c r="U99" s="15">
        <f>IF($A99="","",IF($D99="",1,$D99)*IFERROR(INDEX(Products!$F$5:$F$54,MATCH($C99,Products!$A$5:$A$54,0)),0))</f>
        <v/>
      </c>
      <c r="V99" s="27">
        <f>IF($A99="","",$M99-$T99-$S99-$U99-$G99)</f>
        <v/>
      </c>
      <c r="W99" s="31">
        <f>IF($A99="","",IF($M99-$T99&gt;0,$V99/($M99-$T99),""))</f>
        <v/>
      </c>
      <c r="X99" s="35">
        <f>IF($A99="","",DATE(YEAR($A99),MONTH($A99),1))</f>
        <v/>
      </c>
    </row>
    <row r="100">
      <c r="A100" s="18" t="n"/>
      <c r="B100" s="13" t="n"/>
      <c r="C100" s="13" t="n"/>
      <c r="D100" s="26" t="n"/>
      <c r="E100" s="12" t="n"/>
      <c r="F100" s="12" t="n"/>
      <c r="G100" s="12" t="n"/>
      <c r="H100" s="12" t="n"/>
      <c r="I100" s="13" t="n"/>
      <c r="J100" s="13" t="n"/>
      <c r="K100" s="12" t="n"/>
      <c r="L100" s="13" t="n"/>
      <c r="M100" s="15">
        <f>IF($A100="","",IF($D100="",1,$D100)*$E100+$F100-$H100)</f>
        <v/>
      </c>
      <c r="N100" s="15">
        <f>IF($A100="","",IF($B100="Etsy",IF($D100="",1,$D100)*Settings!$C$19,0))</f>
        <v/>
      </c>
      <c r="O100" s="15">
        <f>IF($A100="","",IF($B100="Etsy",Settings!$C$20*($M100+IF(Settings!$C$54="Y",0,$H100)),0))</f>
        <v/>
      </c>
      <c r="P100" s="15">
        <f>IF($A100="","",IF($B100="Etsy",Settings!$C$21*$M100*(1+Settings!$C$55)+Settings!$C$22,IF($B100="Shopify",Settings!$C$14*$M100+Settings!$C$15,0)))</f>
        <v/>
      </c>
      <c r="Q100" s="15">
        <f>IF($A100="","",IF(AND($B100="Etsy",$I100="Y"),MIN(Settings!$C$12*($M100+IF(Settings!$C$54="Y",0,$H100)),Settings!$C$25),0))</f>
        <v/>
      </c>
      <c r="R100" s="15">
        <f>IF($A100="","",IF(AND($B100="Etsy",$J100="Y",$L100="Y",$M100&gt;0),($O100+Settings!$C$21*$M100*(1+Settings!$C$55)+IF(Settings!$C$59="Y",$Q100,0))*$T100/$M100+IF(AND(Settings!$C$58="Y",$T100&gt;=$M100),Settings!$C$22,0),0))</f>
        <v/>
      </c>
      <c r="S100" s="15">
        <f>IF($A100="","",$N100+$O100+$P100+$Q100-$R100)</f>
        <v/>
      </c>
      <c r="T100" s="15">
        <f>IF($A100="","",IF($J100="Y",IF($K100="",$M100,MIN($K100,$M100)),0))</f>
        <v/>
      </c>
      <c r="U100" s="15">
        <f>IF($A100="","",IF($D100="",1,$D100)*IFERROR(INDEX(Products!$F$5:$F$54,MATCH($C100,Products!$A$5:$A$54,0)),0))</f>
        <v/>
      </c>
      <c r="V100" s="27">
        <f>IF($A100="","",$M100-$T100-$S100-$U100-$G100)</f>
        <v/>
      </c>
      <c r="W100" s="31">
        <f>IF($A100="","",IF($M100-$T100&gt;0,$V100/($M100-$T100),""))</f>
        <v/>
      </c>
      <c r="X100" s="35">
        <f>IF($A100="","",DATE(YEAR($A100),MONTH($A100),1))</f>
        <v/>
      </c>
    </row>
    <row r="101">
      <c r="A101" s="18" t="n"/>
      <c r="B101" s="13" t="n"/>
      <c r="C101" s="13" t="n"/>
      <c r="D101" s="26" t="n"/>
      <c r="E101" s="12" t="n"/>
      <c r="F101" s="12" t="n"/>
      <c r="G101" s="12" t="n"/>
      <c r="H101" s="12" t="n"/>
      <c r="I101" s="13" t="n"/>
      <c r="J101" s="13" t="n"/>
      <c r="K101" s="12" t="n"/>
      <c r="L101" s="13" t="n"/>
      <c r="M101" s="15">
        <f>IF($A101="","",IF($D101="",1,$D101)*$E101+$F101-$H101)</f>
        <v/>
      </c>
      <c r="N101" s="15">
        <f>IF($A101="","",IF($B101="Etsy",IF($D101="",1,$D101)*Settings!$C$19,0))</f>
        <v/>
      </c>
      <c r="O101" s="15">
        <f>IF($A101="","",IF($B101="Etsy",Settings!$C$20*($M101+IF(Settings!$C$54="Y",0,$H101)),0))</f>
        <v/>
      </c>
      <c r="P101" s="15">
        <f>IF($A101="","",IF($B101="Etsy",Settings!$C$21*$M101*(1+Settings!$C$55)+Settings!$C$22,IF($B101="Shopify",Settings!$C$14*$M101+Settings!$C$15,0)))</f>
        <v/>
      </c>
      <c r="Q101" s="15">
        <f>IF($A101="","",IF(AND($B101="Etsy",$I101="Y"),MIN(Settings!$C$12*($M101+IF(Settings!$C$54="Y",0,$H101)),Settings!$C$25),0))</f>
        <v/>
      </c>
      <c r="R101" s="15">
        <f>IF($A101="","",IF(AND($B101="Etsy",$J101="Y",$L101="Y",$M101&gt;0),($O101+Settings!$C$21*$M101*(1+Settings!$C$55)+IF(Settings!$C$59="Y",$Q101,0))*$T101/$M101+IF(AND(Settings!$C$58="Y",$T101&gt;=$M101),Settings!$C$22,0),0))</f>
        <v/>
      </c>
      <c r="S101" s="15">
        <f>IF($A101="","",$N101+$O101+$P101+$Q101-$R101)</f>
        <v/>
      </c>
      <c r="T101" s="15">
        <f>IF($A101="","",IF($J101="Y",IF($K101="",$M101,MIN($K101,$M101)),0))</f>
        <v/>
      </c>
      <c r="U101" s="15">
        <f>IF($A101="","",IF($D101="",1,$D101)*IFERROR(INDEX(Products!$F$5:$F$54,MATCH($C101,Products!$A$5:$A$54,0)),0))</f>
        <v/>
      </c>
      <c r="V101" s="27">
        <f>IF($A101="","",$M101-$T101-$S101-$U101-$G101)</f>
        <v/>
      </c>
      <c r="W101" s="31">
        <f>IF($A101="","",IF($M101-$T101&gt;0,$V101/($M101-$T101),""))</f>
        <v/>
      </c>
      <c r="X101" s="35">
        <f>IF($A101="","",DATE(YEAR($A101),MONTH($A101),1))</f>
        <v/>
      </c>
    </row>
    <row r="102">
      <c r="A102" s="18" t="n"/>
      <c r="B102" s="13" t="n"/>
      <c r="C102" s="13" t="n"/>
      <c r="D102" s="26" t="n"/>
      <c r="E102" s="12" t="n"/>
      <c r="F102" s="12" t="n"/>
      <c r="G102" s="12" t="n"/>
      <c r="H102" s="12" t="n"/>
      <c r="I102" s="13" t="n"/>
      <c r="J102" s="13" t="n"/>
      <c r="K102" s="12" t="n"/>
      <c r="L102" s="13" t="n"/>
      <c r="M102" s="15">
        <f>IF($A102="","",IF($D102="",1,$D102)*$E102+$F102-$H102)</f>
        <v/>
      </c>
      <c r="N102" s="15">
        <f>IF($A102="","",IF($B102="Etsy",IF($D102="",1,$D102)*Settings!$C$19,0))</f>
        <v/>
      </c>
      <c r="O102" s="15">
        <f>IF($A102="","",IF($B102="Etsy",Settings!$C$20*($M102+IF(Settings!$C$54="Y",0,$H102)),0))</f>
        <v/>
      </c>
      <c r="P102" s="15">
        <f>IF($A102="","",IF($B102="Etsy",Settings!$C$21*$M102*(1+Settings!$C$55)+Settings!$C$22,IF($B102="Shopify",Settings!$C$14*$M102+Settings!$C$15,0)))</f>
        <v/>
      </c>
      <c r="Q102" s="15">
        <f>IF($A102="","",IF(AND($B102="Etsy",$I102="Y"),MIN(Settings!$C$12*($M102+IF(Settings!$C$54="Y",0,$H102)),Settings!$C$25),0))</f>
        <v/>
      </c>
      <c r="R102" s="15">
        <f>IF($A102="","",IF(AND($B102="Etsy",$J102="Y",$L102="Y",$M102&gt;0),($O102+Settings!$C$21*$M102*(1+Settings!$C$55)+IF(Settings!$C$59="Y",$Q102,0))*$T102/$M102+IF(AND(Settings!$C$58="Y",$T102&gt;=$M102),Settings!$C$22,0),0))</f>
        <v/>
      </c>
      <c r="S102" s="15">
        <f>IF($A102="","",$N102+$O102+$P102+$Q102-$R102)</f>
        <v/>
      </c>
      <c r="T102" s="15">
        <f>IF($A102="","",IF($J102="Y",IF($K102="",$M102,MIN($K102,$M102)),0))</f>
        <v/>
      </c>
      <c r="U102" s="15">
        <f>IF($A102="","",IF($D102="",1,$D102)*IFERROR(INDEX(Products!$F$5:$F$54,MATCH($C102,Products!$A$5:$A$54,0)),0))</f>
        <v/>
      </c>
      <c r="V102" s="27">
        <f>IF($A102="","",$M102-$T102-$S102-$U102-$G102)</f>
        <v/>
      </c>
      <c r="W102" s="31">
        <f>IF($A102="","",IF($M102-$T102&gt;0,$V102/($M102-$T102),""))</f>
        <v/>
      </c>
      <c r="X102" s="35">
        <f>IF($A102="","",DATE(YEAR($A102),MONTH($A102),1))</f>
        <v/>
      </c>
    </row>
    <row r="103">
      <c r="A103" s="18" t="n"/>
      <c r="B103" s="13" t="n"/>
      <c r="C103" s="13" t="n"/>
      <c r="D103" s="26" t="n"/>
      <c r="E103" s="12" t="n"/>
      <c r="F103" s="12" t="n"/>
      <c r="G103" s="12" t="n"/>
      <c r="H103" s="12" t="n"/>
      <c r="I103" s="13" t="n"/>
      <c r="J103" s="13" t="n"/>
      <c r="K103" s="12" t="n"/>
      <c r="L103" s="13" t="n"/>
      <c r="M103" s="15">
        <f>IF($A103="","",IF($D103="",1,$D103)*$E103+$F103-$H103)</f>
        <v/>
      </c>
      <c r="N103" s="15">
        <f>IF($A103="","",IF($B103="Etsy",IF($D103="",1,$D103)*Settings!$C$19,0))</f>
        <v/>
      </c>
      <c r="O103" s="15">
        <f>IF($A103="","",IF($B103="Etsy",Settings!$C$20*($M103+IF(Settings!$C$54="Y",0,$H103)),0))</f>
        <v/>
      </c>
      <c r="P103" s="15">
        <f>IF($A103="","",IF($B103="Etsy",Settings!$C$21*$M103*(1+Settings!$C$55)+Settings!$C$22,IF($B103="Shopify",Settings!$C$14*$M103+Settings!$C$15,0)))</f>
        <v/>
      </c>
      <c r="Q103" s="15">
        <f>IF($A103="","",IF(AND($B103="Etsy",$I103="Y"),MIN(Settings!$C$12*($M103+IF(Settings!$C$54="Y",0,$H103)),Settings!$C$25),0))</f>
        <v/>
      </c>
      <c r="R103" s="15">
        <f>IF($A103="","",IF(AND($B103="Etsy",$J103="Y",$L103="Y",$M103&gt;0),($O103+Settings!$C$21*$M103*(1+Settings!$C$55)+IF(Settings!$C$59="Y",$Q103,0))*$T103/$M103+IF(AND(Settings!$C$58="Y",$T103&gt;=$M103),Settings!$C$22,0),0))</f>
        <v/>
      </c>
      <c r="S103" s="15">
        <f>IF($A103="","",$N103+$O103+$P103+$Q103-$R103)</f>
        <v/>
      </c>
      <c r="T103" s="15">
        <f>IF($A103="","",IF($J103="Y",IF($K103="",$M103,MIN($K103,$M103)),0))</f>
        <v/>
      </c>
      <c r="U103" s="15">
        <f>IF($A103="","",IF($D103="",1,$D103)*IFERROR(INDEX(Products!$F$5:$F$54,MATCH($C103,Products!$A$5:$A$54,0)),0))</f>
        <v/>
      </c>
      <c r="V103" s="27">
        <f>IF($A103="","",$M103-$T103-$S103-$U103-$G103)</f>
        <v/>
      </c>
      <c r="W103" s="31">
        <f>IF($A103="","",IF($M103-$T103&gt;0,$V103/($M103-$T103),""))</f>
        <v/>
      </c>
      <c r="X103" s="35">
        <f>IF($A103="","",DATE(YEAR($A103),MONTH($A103),1))</f>
        <v/>
      </c>
    </row>
    <row r="104">
      <c r="A104" s="18" t="n"/>
      <c r="B104" s="13" t="n"/>
      <c r="C104" s="13" t="n"/>
      <c r="D104" s="26" t="n"/>
      <c r="E104" s="12" t="n"/>
      <c r="F104" s="12" t="n"/>
      <c r="G104" s="12" t="n"/>
      <c r="H104" s="12" t="n"/>
      <c r="I104" s="13" t="n"/>
      <c r="J104" s="13" t="n"/>
      <c r="K104" s="12" t="n"/>
      <c r="L104" s="13" t="n"/>
      <c r="M104" s="15">
        <f>IF($A104="","",IF($D104="",1,$D104)*$E104+$F104-$H104)</f>
        <v/>
      </c>
      <c r="N104" s="15">
        <f>IF($A104="","",IF($B104="Etsy",IF($D104="",1,$D104)*Settings!$C$19,0))</f>
        <v/>
      </c>
      <c r="O104" s="15">
        <f>IF($A104="","",IF($B104="Etsy",Settings!$C$20*($M104+IF(Settings!$C$54="Y",0,$H104)),0))</f>
        <v/>
      </c>
      <c r="P104" s="15">
        <f>IF($A104="","",IF($B104="Etsy",Settings!$C$21*$M104*(1+Settings!$C$55)+Settings!$C$22,IF($B104="Shopify",Settings!$C$14*$M104+Settings!$C$15,0)))</f>
        <v/>
      </c>
      <c r="Q104" s="15">
        <f>IF($A104="","",IF(AND($B104="Etsy",$I104="Y"),MIN(Settings!$C$12*($M104+IF(Settings!$C$54="Y",0,$H104)),Settings!$C$25),0))</f>
        <v/>
      </c>
      <c r="R104" s="15">
        <f>IF($A104="","",IF(AND($B104="Etsy",$J104="Y",$L104="Y",$M104&gt;0),($O104+Settings!$C$21*$M104*(1+Settings!$C$55)+IF(Settings!$C$59="Y",$Q104,0))*$T104/$M104+IF(AND(Settings!$C$58="Y",$T104&gt;=$M104),Settings!$C$22,0),0))</f>
        <v/>
      </c>
      <c r="S104" s="15">
        <f>IF($A104="","",$N104+$O104+$P104+$Q104-$R104)</f>
        <v/>
      </c>
      <c r="T104" s="15">
        <f>IF($A104="","",IF($J104="Y",IF($K104="",$M104,MIN($K104,$M104)),0))</f>
        <v/>
      </c>
      <c r="U104" s="15">
        <f>IF($A104="","",IF($D104="",1,$D104)*IFERROR(INDEX(Products!$F$5:$F$54,MATCH($C104,Products!$A$5:$A$54,0)),0))</f>
        <v/>
      </c>
      <c r="V104" s="27">
        <f>IF($A104="","",$M104-$T104-$S104-$U104-$G104)</f>
        <v/>
      </c>
      <c r="W104" s="31">
        <f>IF($A104="","",IF($M104-$T104&gt;0,$V104/($M104-$T104),""))</f>
        <v/>
      </c>
      <c r="X104" s="35">
        <f>IF($A104="","",DATE(YEAR($A104),MONTH($A104),1))</f>
        <v/>
      </c>
    </row>
    <row r="105">
      <c r="A105" s="18" t="n"/>
      <c r="B105" s="13" t="n"/>
      <c r="C105" s="13" t="n"/>
      <c r="D105" s="26" t="n"/>
      <c r="E105" s="12" t="n"/>
      <c r="F105" s="12" t="n"/>
      <c r="G105" s="12" t="n"/>
      <c r="H105" s="12" t="n"/>
      <c r="I105" s="13" t="n"/>
      <c r="J105" s="13" t="n"/>
      <c r="K105" s="12" t="n"/>
      <c r="L105" s="13" t="n"/>
      <c r="M105" s="15">
        <f>IF($A105="","",IF($D105="",1,$D105)*$E105+$F105-$H105)</f>
        <v/>
      </c>
      <c r="N105" s="15">
        <f>IF($A105="","",IF($B105="Etsy",IF($D105="",1,$D105)*Settings!$C$19,0))</f>
        <v/>
      </c>
      <c r="O105" s="15">
        <f>IF($A105="","",IF($B105="Etsy",Settings!$C$20*($M105+IF(Settings!$C$54="Y",0,$H105)),0))</f>
        <v/>
      </c>
      <c r="P105" s="15">
        <f>IF($A105="","",IF($B105="Etsy",Settings!$C$21*$M105*(1+Settings!$C$55)+Settings!$C$22,IF($B105="Shopify",Settings!$C$14*$M105+Settings!$C$15,0)))</f>
        <v/>
      </c>
      <c r="Q105" s="15">
        <f>IF($A105="","",IF(AND($B105="Etsy",$I105="Y"),MIN(Settings!$C$12*($M105+IF(Settings!$C$54="Y",0,$H105)),Settings!$C$25),0))</f>
        <v/>
      </c>
      <c r="R105" s="15">
        <f>IF($A105="","",IF(AND($B105="Etsy",$J105="Y",$L105="Y",$M105&gt;0),($O105+Settings!$C$21*$M105*(1+Settings!$C$55)+IF(Settings!$C$59="Y",$Q105,0))*$T105/$M105+IF(AND(Settings!$C$58="Y",$T105&gt;=$M105),Settings!$C$22,0),0))</f>
        <v/>
      </c>
      <c r="S105" s="15">
        <f>IF($A105="","",$N105+$O105+$P105+$Q105-$R105)</f>
        <v/>
      </c>
      <c r="T105" s="15">
        <f>IF($A105="","",IF($J105="Y",IF($K105="",$M105,MIN($K105,$M105)),0))</f>
        <v/>
      </c>
      <c r="U105" s="15">
        <f>IF($A105="","",IF($D105="",1,$D105)*IFERROR(INDEX(Products!$F$5:$F$54,MATCH($C105,Products!$A$5:$A$54,0)),0))</f>
        <v/>
      </c>
      <c r="V105" s="27">
        <f>IF($A105="","",$M105-$T105-$S105-$U105-$G105)</f>
        <v/>
      </c>
      <c r="W105" s="31">
        <f>IF($A105="","",IF($M105-$T105&gt;0,$V105/($M105-$T105),""))</f>
        <v/>
      </c>
      <c r="X105" s="35">
        <f>IF($A105="","",DATE(YEAR($A105),MONTH($A105),1))</f>
        <v/>
      </c>
    </row>
    <row r="106">
      <c r="A106" s="18" t="n"/>
      <c r="B106" s="13" t="n"/>
      <c r="C106" s="13" t="n"/>
      <c r="D106" s="26" t="n"/>
      <c r="E106" s="12" t="n"/>
      <c r="F106" s="12" t="n"/>
      <c r="G106" s="12" t="n"/>
      <c r="H106" s="12" t="n"/>
      <c r="I106" s="13" t="n"/>
      <c r="J106" s="13" t="n"/>
      <c r="K106" s="12" t="n"/>
      <c r="L106" s="13" t="n"/>
      <c r="M106" s="15">
        <f>IF($A106="","",IF($D106="",1,$D106)*$E106+$F106-$H106)</f>
        <v/>
      </c>
      <c r="N106" s="15">
        <f>IF($A106="","",IF($B106="Etsy",IF($D106="",1,$D106)*Settings!$C$19,0))</f>
        <v/>
      </c>
      <c r="O106" s="15">
        <f>IF($A106="","",IF($B106="Etsy",Settings!$C$20*($M106+IF(Settings!$C$54="Y",0,$H106)),0))</f>
        <v/>
      </c>
      <c r="P106" s="15">
        <f>IF($A106="","",IF($B106="Etsy",Settings!$C$21*$M106*(1+Settings!$C$55)+Settings!$C$22,IF($B106="Shopify",Settings!$C$14*$M106+Settings!$C$15,0)))</f>
        <v/>
      </c>
      <c r="Q106" s="15">
        <f>IF($A106="","",IF(AND($B106="Etsy",$I106="Y"),MIN(Settings!$C$12*($M106+IF(Settings!$C$54="Y",0,$H106)),Settings!$C$25),0))</f>
        <v/>
      </c>
      <c r="R106" s="15">
        <f>IF($A106="","",IF(AND($B106="Etsy",$J106="Y",$L106="Y",$M106&gt;0),($O106+Settings!$C$21*$M106*(1+Settings!$C$55)+IF(Settings!$C$59="Y",$Q106,0))*$T106/$M106+IF(AND(Settings!$C$58="Y",$T106&gt;=$M106),Settings!$C$22,0),0))</f>
        <v/>
      </c>
      <c r="S106" s="15">
        <f>IF($A106="","",$N106+$O106+$P106+$Q106-$R106)</f>
        <v/>
      </c>
      <c r="T106" s="15">
        <f>IF($A106="","",IF($J106="Y",IF($K106="",$M106,MIN($K106,$M106)),0))</f>
        <v/>
      </c>
      <c r="U106" s="15">
        <f>IF($A106="","",IF($D106="",1,$D106)*IFERROR(INDEX(Products!$F$5:$F$54,MATCH($C106,Products!$A$5:$A$54,0)),0))</f>
        <v/>
      </c>
      <c r="V106" s="27">
        <f>IF($A106="","",$M106-$T106-$S106-$U106-$G106)</f>
        <v/>
      </c>
      <c r="W106" s="31">
        <f>IF($A106="","",IF($M106-$T106&gt;0,$V106/($M106-$T106),""))</f>
        <v/>
      </c>
      <c r="X106" s="35">
        <f>IF($A106="","",DATE(YEAR($A106),MONTH($A106),1))</f>
        <v/>
      </c>
    </row>
    <row r="107">
      <c r="A107" s="18" t="n"/>
      <c r="B107" s="13" t="n"/>
      <c r="C107" s="13" t="n"/>
      <c r="D107" s="26" t="n"/>
      <c r="E107" s="12" t="n"/>
      <c r="F107" s="12" t="n"/>
      <c r="G107" s="12" t="n"/>
      <c r="H107" s="12" t="n"/>
      <c r="I107" s="13" t="n"/>
      <c r="J107" s="13" t="n"/>
      <c r="K107" s="12" t="n"/>
      <c r="L107" s="13" t="n"/>
      <c r="M107" s="15">
        <f>IF($A107="","",IF($D107="",1,$D107)*$E107+$F107-$H107)</f>
        <v/>
      </c>
      <c r="N107" s="15">
        <f>IF($A107="","",IF($B107="Etsy",IF($D107="",1,$D107)*Settings!$C$19,0))</f>
        <v/>
      </c>
      <c r="O107" s="15">
        <f>IF($A107="","",IF($B107="Etsy",Settings!$C$20*($M107+IF(Settings!$C$54="Y",0,$H107)),0))</f>
        <v/>
      </c>
      <c r="P107" s="15">
        <f>IF($A107="","",IF($B107="Etsy",Settings!$C$21*$M107*(1+Settings!$C$55)+Settings!$C$22,IF($B107="Shopify",Settings!$C$14*$M107+Settings!$C$15,0)))</f>
        <v/>
      </c>
      <c r="Q107" s="15">
        <f>IF($A107="","",IF(AND($B107="Etsy",$I107="Y"),MIN(Settings!$C$12*($M107+IF(Settings!$C$54="Y",0,$H107)),Settings!$C$25),0))</f>
        <v/>
      </c>
      <c r="R107" s="15">
        <f>IF($A107="","",IF(AND($B107="Etsy",$J107="Y",$L107="Y",$M107&gt;0),($O107+Settings!$C$21*$M107*(1+Settings!$C$55)+IF(Settings!$C$59="Y",$Q107,0))*$T107/$M107+IF(AND(Settings!$C$58="Y",$T107&gt;=$M107),Settings!$C$22,0),0))</f>
        <v/>
      </c>
      <c r="S107" s="15">
        <f>IF($A107="","",$N107+$O107+$P107+$Q107-$R107)</f>
        <v/>
      </c>
      <c r="T107" s="15">
        <f>IF($A107="","",IF($J107="Y",IF($K107="",$M107,MIN($K107,$M107)),0))</f>
        <v/>
      </c>
      <c r="U107" s="15">
        <f>IF($A107="","",IF($D107="",1,$D107)*IFERROR(INDEX(Products!$F$5:$F$54,MATCH($C107,Products!$A$5:$A$54,0)),0))</f>
        <v/>
      </c>
      <c r="V107" s="27">
        <f>IF($A107="","",$M107-$T107-$S107-$U107-$G107)</f>
        <v/>
      </c>
      <c r="W107" s="31">
        <f>IF($A107="","",IF($M107-$T107&gt;0,$V107/($M107-$T107),""))</f>
        <v/>
      </c>
      <c r="X107" s="35">
        <f>IF($A107="","",DATE(YEAR($A107),MONTH($A107),1))</f>
        <v/>
      </c>
    </row>
    <row r="108">
      <c r="A108" s="18" t="n"/>
      <c r="B108" s="13" t="n"/>
      <c r="C108" s="13" t="n"/>
      <c r="D108" s="26" t="n"/>
      <c r="E108" s="12" t="n"/>
      <c r="F108" s="12" t="n"/>
      <c r="G108" s="12" t="n"/>
      <c r="H108" s="12" t="n"/>
      <c r="I108" s="13" t="n"/>
      <c r="J108" s="13" t="n"/>
      <c r="K108" s="12" t="n"/>
      <c r="L108" s="13" t="n"/>
      <c r="M108" s="15">
        <f>IF($A108="","",IF($D108="",1,$D108)*$E108+$F108-$H108)</f>
        <v/>
      </c>
      <c r="N108" s="15">
        <f>IF($A108="","",IF($B108="Etsy",IF($D108="",1,$D108)*Settings!$C$19,0))</f>
        <v/>
      </c>
      <c r="O108" s="15">
        <f>IF($A108="","",IF($B108="Etsy",Settings!$C$20*($M108+IF(Settings!$C$54="Y",0,$H108)),0))</f>
        <v/>
      </c>
      <c r="P108" s="15">
        <f>IF($A108="","",IF($B108="Etsy",Settings!$C$21*$M108*(1+Settings!$C$55)+Settings!$C$22,IF($B108="Shopify",Settings!$C$14*$M108+Settings!$C$15,0)))</f>
        <v/>
      </c>
      <c r="Q108" s="15">
        <f>IF($A108="","",IF(AND($B108="Etsy",$I108="Y"),MIN(Settings!$C$12*($M108+IF(Settings!$C$54="Y",0,$H108)),Settings!$C$25),0))</f>
        <v/>
      </c>
      <c r="R108" s="15">
        <f>IF($A108="","",IF(AND($B108="Etsy",$J108="Y",$L108="Y",$M108&gt;0),($O108+Settings!$C$21*$M108*(1+Settings!$C$55)+IF(Settings!$C$59="Y",$Q108,0))*$T108/$M108+IF(AND(Settings!$C$58="Y",$T108&gt;=$M108),Settings!$C$22,0),0))</f>
        <v/>
      </c>
      <c r="S108" s="15">
        <f>IF($A108="","",$N108+$O108+$P108+$Q108-$R108)</f>
        <v/>
      </c>
      <c r="T108" s="15">
        <f>IF($A108="","",IF($J108="Y",IF($K108="",$M108,MIN($K108,$M108)),0))</f>
        <v/>
      </c>
      <c r="U108" s="15">
        <f>IF($A108="","",IF($D108="",1,$D108)*IFERROR(INDEX(Products!$F$5:$F$54,MATCH($C108,Products!$A$5:$A$54,0)),0))</f>
        <v/>
      </c>
      <c r="V108" s="27">
        <f>IF($A108="","",$M108-$T108-$S108-$U108-$G108)</f>
        <v/>
      </c>
      <c r="W108" s="31">
        <f>IF($A108="","",IF($M108-$T108&gt;0,$V108/($M108-$T108),""))</f>
        <v/>
      </c>
      <c r="X108" s="35">
        <f>IF($A108="","",DATE(YEAR($A108),MONTH($A108),1))</f>
        <v/>
      </c>
    </row>
    <row r="109">
      <c r="A109" s="18" t="n"/>
      <c r="B109" s="13" t="n"/>
      <c r="C109" s="13" t="n"/>
      <c r="D109" s="26" t="n"/>
      <c r="E109" s="12" t="n"/>
      <c r="F109" s="12" t="n"/>
      <c r="G109" s="12" t="n"/>
      <c r="H109" s="12" t="n"/>
      <c r="I109" s="13" t="n"/>
      <c r="J109" s="13" t="n"/>
      <c r="K109" s="12" t="n"/>
      <c r="L109" s="13" t="n"/>
      <c r="M109" s="15">
        <f>IF($A109="","",IF($D109="",1,$D109)*$E109+$F109-$H109)</f>
        <v/>
      </c>
      <c r="N109" s="15">
        <f>IF($A109="","",IF($B109="Etsy",IF($D109="",1,$D109)*Settings!$C$19,0))</f>
        <v/>
      </c>
      <c r="O109" s="15">
        <f>IF($A109="","",IF($B109="Etsy",Settings!$C$20*($M109+IF(Settings!$C$54="Y",0,$H109)),0))</f>
        <v/>
      </c>
      <c r="P109" s="15">
        <f>IF($A109="","",IF($B109="Etsy",Settings!$C$21*$M109*(1+Settings!$C$55)+Settings!$C$22,IF($B109="Shopify",Settings!$C$14*$M109+Settings!$C$15,0)))</f>
        <v/>
      </c>
      <c r="Q109" s="15">
        <f>IF($A109="","",IF(AND($B109="Etsy",$I109="Y"),MIN(Settings!$C$12*($M109+IF(Settings!$C$54="Y",0,$H109)),Settings!$C$25),0))</f>
        <v/>
      </c>
      <c r="R109" s="15">
        <f>IF($A109="","",IF(AND($B109="Etsy",$J109="Y",$L109="Y",$M109&gt;0),($O109+Settings!$C$21*$M109*(1+Settings!$C$55)+IF(Settings!$C$59="Y",$Q109,0))*$T109/$M109+IF(AND(Settings!$C$58="Y",$T109&gt;=$M109),Settings!$C$22,0),0))</f>
        <v/>
      </c>
      <c r="S109" s="15">
        <f>IF($A109="","",$N109+$O109+$P109+$Q109-$R109)</f>
        <v/>
      </c>
      <c r="T109" s="15">
        <f>IF($A109="","",IF($J109="Y",IF($K109="",$M109,MIN($K109,$M109)),0))</f>
        <v/>
      </c>
      <c r="U109" s="15">
        <f>IF($A109="","",IF($D109="",1,$D109)*IFERROR(INDEX(Products!$F$5:$F$54,MATCH($C109,Products!$A$5:$A$54,0)),0))</f>
        <v/>
      </c>
      <c r="V109" s="27">
        <f>IF($A109="","",$M109-$T109-$S109-$U109-$G109)</f>
        <v/>
      </c>
      <c r="W109" s="31">
        <f>IF($A109="","",IF($M109-$T109&gt;0,$V109/($M109-$T109),""))</f>
        <v/>
      </c>
      <c r="X109" s="35">
        <f>IF($A109="","",DATE(YEAR($A109),MONTH($A109),1))</f>
        <v/>
      </c>
    </row>
    <row r="110">
      <c r="A110" s="18" t="n"/>
      <c r="B110" s="13" t="n"/>
      <c r="C110" s="13" t="n"/>
      <c r="D110" s="26" t="n"/>
      <c r="E110" s="12" t="n"/>
      <c r="F110" s="12" t="n"/>
      <c r="G110" s="12" t="n"/>
      <c r="H110" s="12" t="n"/>
      <c r="I110" s="13" t="n"/>
      <c r="J110" s="13" t="n"/>
      <c r="K110" s="12" t="n"/>
      <c r="L110" s="13" t="n"/>
      <c r="M110" s="15">
        <f>IF($A110="","",IF($D110="",1,$D110)*$E110+$F110-$H110)</f>
        <v/>
      </c>
      <c r="N110" s="15">
        <f>IF($A110="","",IF($B110="Etsy",IF($D110="",1,$D110)*Settings!$C$19,0))</f>
        <v/>
      </c>
      <c r="O110" s="15">
        <f>IF($A110="","",IF($B110="Etsy",Settings!$C$20*($M110+IF(Settings!$C$54="Y",0,$H110)),0))</f>
        <v/>
      </c>
      <c r="P110" s="15">
        <f>IF($A110="","",IF($B110="Etsy",Settings!$C$21*$M110*(1+Settings!$C$55)+Settings!$C$22,IF($B110="Shopify",Settings!$C$14*$M110+Settings!$C$15,0)))</f>
        <v/>
      </c>
      <c r="Q110" s="15">
        <f>IF($A110="","",IF(AND($B110="Etsy",$I110="Y"),MIN(Settings!$C$12*($M110+IF(Settings!$C$54="Y",0,$H110)),Settings!$C$25),0))</f>
        <v/>
      </c>
      <c r="R110" s="15">
        <f>IF($A110="","",IF(AND($B110="Etsy",$J110="Y",$L110="Y",$M110&gt;0),($O110+Settings!$C$21*$M110*(1+Settings!$C$55)+IF(Settings!$C$59="Y",$Q110,0))*$T110/$M110+IF(AND(Settings!$C$58="Y",$T110&gt;=$M110),Settings!$C$22,0),0))</f>
        <v/>
      </c>
      <c r="S110" s="15">
        <f>IF($A110="","",$N110+$O110+$P110+$Q110-$R110)</f>
        <v/>
      </c>
      <c r="T110" s="15">
        <f>IF($A110="","",IF($J110="Y",IF($K110="",$M110,MIN($K110,$M110)),0))</f>
        <v/>
      </c>
      <c r="U110" s="15">
        <f>IF($A110="","",IF($D110="",1,$D110)*IFERROR(INDEX(Products!$F$5:$F$54,MATCH($C110,Products!$A$5:$A$54,0)),0))</f>
        <v/>
      </c>
      <c r="V110" s="27">
        <f>IF($A110="","",$M110-$T110-$S110-$U110-$G110)</f>
        <v/>
      </c>
      <c r="W110" s="31">
        <f>IF($A110="","",IF($M110-$T110&gt;0,$V110/($M110-$T110),""))</f>
        <v/>
      </c>
      <c r="X110" s="35">
        <f>IF($A110="","",DATE(YEAR($A110),MONTH($A110),1))</f>
        <v/>
      </c>
    </row>
    <row r="111">
      <c r="A111" s="18" t="n"/>
      <c r="B111" s="13" t="n"/>
      <c r="C111" s="13" t="n"/>
      <c r="D111" s="26" t="n"/>
      <c r="E111" s="12" t="n"/>
      <c r="F111" s="12" t="n"/>
      <c r="G111" s="12" t="n"/>
      <c r="H111" s="12" t="n"/>
      <c r="I111" s="13" t="n"/>
      <c r="J111" s="13" t="n"/>
      <c r="K111" s="12" t="n"/>
      <c r="L111" s="13" t="n"/>
      <c r="M111" s="15">
        <f>IF($A111="","",IF($D111="",1,$D111)*$E111+$F111-$H111)</f>
        <v/>
      </c>
      <c r="N111" s="15">
        <f>IF($A111="","",IF($B111="Etsy",IF($D111="",1,$D111)*Settings!$C$19,0))</f>
        <v/>
      </c>
      <c r="O111" s="15">
        <f>IF($A111="","",IF($B111="Etsy",Settings!$C$20*($M111+IF(Settings!$C$54="Y",0,$H111)),0))</f>
        <v/>
      </c>
      <c r="P111" s="15">
        <f>IF($A111="","",IF($B111="Etsy",Settings!$C$21*$M111*(1+Settings!$C$55)+Settings!$C$22,IF($B111="Shopify",Settings!$C$14*$M111+Settings!$C$15,0)))</f>
        <v/>
      </c>
      <c r="Q111" s="15">
        <f>IF($A111="","",IF(AND($B111="Etsy",$I111="Y"),MIN(Settings!$C$12*($M111+IF(Settings!$C$54="Y",0,$H111)),Settings!$C$25),0))</f>
        <v/>
      </c>
      <c r="R111" s="15">
        <f>IF($A111="","",IF(AND($B111="Etsy",$J111="Y",$L111="Y",$M111&gt;0),($O111+Settings!$C$21*$M111*(1+Settings!$C$55)+IF(Settings!$C$59="Y",$Q111,0))*$T111/$M111+IF(AND(Settings!$C$58="Y",$T111&gt;=$M111),Settings!$C$22,0),0))</f>
        <v/>
      </c>
      <c r="S111" s="15">
        <f>IF($A111="","",$N111+$O111+$P111+$Q111-$R111)</f>
        <v/>
      </c>
      <c r="T111" s="15">
        <f>IF($A111="","",IF($J111="Y",IF($K111="",$M111,MIN($K111,$M111)),0))</f>
        <v/>
      </c>
      <c r="U111" s="15">
        <f>IF($A111="","",IF($D111="",1,$D111)*IFERROR(INDEX(Products!$F$5:$F$54,MATCH($C111,Products!$A$5:$A$54,0)),0))</f>
        <v/>
      </c>
      <c r="V111" s="27">
        <f>IF($A111="","",$M111-$T111-$S111-$U111-$G111)</f>
        <v/>
      </c>
      <c r="W111" s="31">
        <f>IF($A111="","",IF($M111-$T111&gt;0,$V111/($M111-$T111),""))</f>
        <v/>
      </c>
      <c r="X111" s="35">
        <f>IF($A111="","",DATE(YEAR($A111),MONTH($A111),1))</f>
        <v/>
      </c>
    </row>
    <row r="112">
      <c r="A112" s="18" t="n"/>
      <c r="B112" s="13" t="n"/>
      <c r="C112" s="13" t="n"/>
      <c r="D112" s="26" t="n"/>
      <c r="E112" s="12" t="n"/>
      <c r="F112" s="12" t="n"/>
      <c r="G112" s="12" t="n"/>
      <c r="H112" s="12" t="n"/>
      <c r="I112" s="13" t="n"/>
      <c r="J112" s="13" t="n"/>
      <c r="K112" s="12" t="n"/>
      <c r="L112" s="13" t="n"/>
      <c r="M112" s="15">
        <f>IF($A112="","",IF($D112="",1,$D112)*$E112+$F112-$H112)</f>
        <v/>
      </c>
      <c r="N112" s="15">
        <f>IF($A112="","",IF($B112="Etsy",IF($D112="",1,$D112)*Settings!$C$19,0))</f>
        <v/>
      </c>
      <c r="O112" s="15">
        <f>IF($A112="","",IF($B112="Etsy",Settings!$C$20*($M112+IF(Settings!$C$54="Y",0,$H112)),0))</f>
        <v/>
      </c>
      <c r="P112" s="15">
        <f>IF($A112="","",IF($B112="Etsy",Settings!$C$21*$M112*(1+Settings!$C$55)+Settings!$C$22,IF($B112="Shopify",Settings!$C$14*$M112+Settings!$C$15,0)))</f>
        <v/>
      </c>
      <c r="Q112" s="15">
        <f>IF($A112="","",IF(AND($B112="Etsy",$I112="Y"),MIN(Settings!$C$12*($M112+IF(Settings!$C$54="Y",0,$H112)),Settings!$C$25),0))</f>
        <v/>
      </c>
      <c r="R112" s="15">
        <f>IF($A112="","",IF(AND($B112="Etsy",$J112="Y",$L112="Y",$M112&gt;0),($O112+Settings!$C$21*$M112*(1+Settings!$C$55)+IF(Settings!$C$59="Y",$Q112,0))*$T112/$M112+IF(AND(Settings!$C$58="Y",$T112&gt;=$M112),Settings!$C$22,0),0))</f>
        <v/>
      </c>
      <c r="S112" s="15">
        <f>IF($A112="","",$N112+$O112+$P112+$Q112-$R112)</f>
        <v/>
      </c>
      <c r="T112" s="15">
        <f>IF($A112="","",IF($J112="Y",IF($K112="",$M112,MIN($K112,$M112)),0))</f>
        <v/>
      </c>
      <c r="U112" s="15">
        <f>IF($A112="","",IF($D112="",1,$D112)*IFERROR(INDEX(Products!$F$5:$F$54,MATCH($C112,Products!$A$5:$A$54,0)),0))</f>
        <v/>
      </c>
      <c r="V112" s="27">
        <f>IF($A112="","",$M112-$T112-$S112-$U112-$G112)</f>
        <v/>
      </c>
      <c r="W112" s="31">
        <f>IF($A112="","",IF($M112-$T112&gt;0,$V112/($M112-$T112),""))</f>
        <v/>
      </c>
      <c r="X112" s="35">
        <f>IF($A112="","",DATE(YEAR($A112),MONTH($A112),1))</f>
        <v/>
      </c>
    </row>
    <row r="113">
      <c r="A113" s="18" t="n"/>
      <c r="B113" s="13" t="n"/>
      <c r="C113" s="13" t="n"/>
      <c r="D113" s="26" t="n"/>
      <c r="E113" s="12" t="n"/>
      <c r="F113" s="12" t="n"/>
      <c r="G113" s="12" t="n"/>
      <c r="H113" s="12" t="n"/>
      <c r="I113" s="13" t="n"/>
      <c r="J113" s="13" t="n"/>
      <c r="K113" s="12" t="n"/>
      <c r="L113" s="13" t="n"/>
      <c r="M113" s="15">
        <f>IF($A113="","",IF($D113="",1,$D113)*$E113+$F113-$H113)</f>
        <v/>
      </c>
      <c r="N113" s="15">
        <f>IF($A113="","",IF($B113="Etsy",IF($D113="",1,$D113)*Settings!$C$19,0))</f>
        <v/>
      </c>
      <c r="O113" s="15">
        <f>IF($A113="","",IF($B113="Etsy",Settings!$C$20*($M113+IF(Settings!$C$54="Y",0,$H113)),0))</f>
        <v/>
      </c>
      <c r="P113" s="15">
        <f>IF($A113="","",IF($B113="Etsy",Settings!$C$21*$M113*(1+Settings!$C$55)+Settings!$C$22,IF($B113="Shopify",Settings!$C$14*$M113+Settings!$C$15,0)))</f>
        <v/>
      </c>
      <c r="Q113" s="15">
        <f>IF($A113="","",IF(AND($B113="Etsy",$I113="Y"),MIN(Settings!$C$12*($M113+IF(Settings!$C$54="Y",0,$H113)),Settings!$C$25),0))</f>
        <v/>
      </c>
      <c r="R113" s="15">
        <f>IF($A113="","",IF(AND($B113="Etsy",$J113="Y",$L113="Y",$M113&gt;0),($O113+Settings!$C$21*$M113*(1+Settings!$C$55)+IF(Settings!$C$59="Y",$Q113,0))*$T113/$M113+IF(AND(Settings!$C$58="Y",$T113&gt;=$M113),Settings!$C$22,0),0))</f>
        <v/>
      </c>
      <c r="S113" s="15">
        <f>IF($A113="","",$N113+$O113+$P113+$Q113-$R113)</f>
        <v/>
      </c>
      <c r="T113" s="15">
        <f>IF($A113="","",IF($J113="Y",IF($K113="",$M113,MIN($K113,$M113)),0))</f>
        <v/>
      </c>
      <c r="U113" s="15">
        <f>IF($A113="","",IF($D113="",1,$D113)*IFERROR(INDEX(Products!$F$5:$F$54,MATCH($C113,Products!$A$5:$A$54,0)),0))</f>
        <v/>
      </c>
      <c r="V113" s="27">
        <f>IF($A113="","",$M113-$T113-$S113-$U113-$G113)</f>
        <v/>
      </c>
      <c r="W113" s="31">
        <f>IF($A113="","",IF($M113-$T113&gt;0,$V113/($M113-$T113),""))</f>
        <v/>
      </c>
      <c r="X113" s="35">
        <f>IF($A113="","",DATE(YEAR($A113),MONTH($A113),1))</f>
        <v/>
      </c>
    </row>
    <row r="114">
      <c r="A114" s="18" t="n"/>
      <c r="B114" s="13" t="n"/>
      <c r="C114" s="13" t="n"/>
      <c r="D114" s="26" t="n"/>
      <c r="E114" s="12" t="n"/>
      <c r="F114" s="12" t="n"/>
      <c r="G114" s="12" t="n"/>
      <c r="H114" s="12" t="n"/>
      <c r="I114" s="13" t="n"/>
      <c r="J114" s="13" t="n"/>
      <c r="K114" s="12" t="n"/>
      <c r="L114" s="13" t="n"/>
      <c r="M114" s="15">
        <f>IF($A114="","",IF($D114="",1,$D114)*$E114+$F114-$H114)</f>
        <v/>
      </c>
      <c r="N114" s="15">
        <f>IF($A114="","",IF($B114="Etsy",IF($D114="",1,$D114)*Settings!$C$19,0))</f>
        <v/>
      </c>
      <c r="O114" s="15">
        <f>IF($A114="","",IF($B114="Etsy",Settings!$C$20*($M114+IF(Settings!$C$54="Y",0,$H114)),0))</f>
        <v/>
      </c>
      <c r="P114" s="15">
        <f>IF($A114="","",IF($B114="Etsy",Settings!$C$21*$M114*(1+Settings!$C$55)+Settings!$C$22,IF($B114="Shopify",Settings!$C$14*$M114+Settings!$C$15,0)))</f>
        <v/>
      </c>
      <c r="Q114" s="15">
        <f>IF($A114="","",IF(AND($B114="Etsy",$I114="Y"),MIN(Settings!$C$12*($M114+IF(Settings!$C$54="Y",0,$H114)),Settings!$C$25),0))</f>
        <v/>
      </c>
      <c r="R114" s="15">
        <f>IF($A114="","",IF(AND($B114="Etsy",$J114="Y",$L114="Y",$M114&gt;0),($O114+Settings!$C$21*$M114*(1+Settings!$C$55)+IF(Settings!$C$59="Y",$Q114,0))*$T114/$M114+IF(AND(Settings!$C$58="Y",$T114&gt;=$M114),Settings!$C$22,0),0))</f>
        <v/>
      </c>
      <c r="S114" s="15">
        <f>IF($A114="","",$N114+$O114+$P114+$Q114-$R114)</f>
        <v/>
      </c>
      <c r="T114" s="15">
        <f>IF($A114="","",IF($J114="Y",IF($K114="",$M114,MIN($K114,$M114)),0))</f>
        <v/>
      </c>
      <c r="U114" s="15">
        <f>IF($A114="","",IF($D114="",1,$D114)*IFERROR(INDEX(Products!$F$5:$F$54,MATCH($C114,Products!$A$5:$A$54,0)),0))</f>
        <v/>
      </c>
      <c r="V114" s="27">
        <f>IF($A114="","",$M114-$T114-$S114-$U114-$G114)</f>
        <v/>
      </c>
      <c r="W114" s="31">
        <f>IF($A114="","",IF($M114-$T114&gt;0,$V114/($M114-$T114),""))</f>
        <v/>
      </c>
      <c r="X114" s="35">
        <f>IF($A114="","",DATE(YEAR($A114),MONTH($A114),1))</f>
        <v/>
      </c>
    </row>
    <row r="115">
      <c r="A115" s="18" t="n"/>
      <c r="B115" s="13" t="n"/>
      <c r="C115" s="13" t="n"/>
      <c r="D115" s="26" t="n"/>
      <c r="E115" s="12" t="n"/>
      <c r="F115" s="12" t="n"/>
      <c r="G115" s="12" t="n"/>
      <c r="H115" s="12" t="n"/>
      <c r="I115" s="13" t="n"/>
      <c r="J115" s="13" t="n"/>
      <c r="K115" s="12" t="n"/>
      <c r="L115" s="13" t="n"/>
      <c r="M115" s="15">
        <f>IF($A115="","",IF($D115="",1,$D115)*$E115+$F115-$H115)</f>
        <v/>
      </c>
      <c r="N115" s="15">
        <f>IF($A115="","",IF($B115="Etsy",IF($D115="",1,$D115)*Settings!$C$19,0))</f>
        <v/>
      </c>
      <c r="O115" s="15">
        <f>IF($A115="","",IF($B115="Etsy",Settings!$C$20*($M115+IF(Settings!$C$54="Y",0,$H115)),0))</f>
        <v/>
      </c>
      <c r="P115" s="15">
        <f>IF($A115="","",IF($B115="Etsy",Settings!$C$21*$M115*(1+Settings!$C$55)+Settings!$C$22,IF($B115="Shopify",Settings!$C$14*$M115+Settings!$C$15,0)))</f>
        <v/>
      </c>
      <c r="Q115" s="15">
        <f>IF($A115="","",IF(AND($B115="Etsy",$I115="Y"),MIN(Settings!$C$12*($M115+IF(Settings!$C$54="Y",0,$H115)),Settings!$C$25),0))</f>
        <v/>
      </c>
      <c r="R115" s="15">
        <f>IF($A115="","",IF(AND($B115="Etsy",$J115="Y",$L115="Y",$M115&gt;0),($O115+Settings!$C$21*$M115*(1+Settings!$C$55)+IF(Settings!$C$59="Y",$Q115,0))*$T115/$M115+IF(AND(Settings!$C$58="Y",$T115&gt;=$M115),Settings!$C$22,0),0))</f>
        <v/>
      </c>
      <c r="S115" s="15">
        <f>IF($A115="","",$N115+$O115+$P115+$Q115-$R115)</f>
        <v/>
      </c>
      <c r="T115" s="15">
        <f>IF($A115="","",IF($J115="Y",IF($K115="",$M115,MIN($K115,$M115)),0))</f>
        <v/>
      </c>
      <c r="U115" s="15">
        <f>IF($A115="","",IF($D115="",1,$D115)*IFERROR(INDEX(Products!$F$5:$F$54,MATCH($C115,Products!$A$5:$A$54,0)),0))</f>
        <v/>
      </c>
      <c r="V115" s="27">
        <f>IF($A115="","",$M115-$T115-$S115-$U115-$G115)</f>
        <v/>
      </c>
      <c r="W115" s="31">
        <f>IF($A115="","",IF($M115-$T115&gt;0,$V115/($M115-$T115),""))</f>
        <v/>
      </c>
      <c r="X115" s="35">
        <f>IF($A115="","",DATE(YEAR($A115),MONTH($A115),1))</f>
        <v/>
      </c>
    </row>
    <row r="116">
      <c r="A116" s="18" t="n"/>
      <c r="B116" s="13" t="n"/>
      <c r="C116" s="13" t="n"/>
      <c r="D116" s="26" t="n"/>
      <c r="E116" s="12" t="n"/>
      <c r="F116" s="12" t="n"/>
      <c r="G116" s="12" t="n"/>
      <c r="H116" s="12" t="n"/>
      <c r="I116" s="13" t="n"/>
      <c r="J116" s="13" t="n"/>
      <c r="K116" s="12" t="n"/>
      <c r="L116" s="13" t="n"/>
      <c r="M116" s="15">
        <f>IF($A116="","",IF($D116="",1,$D116)*$E116+$F116-$H116)</f>
        <v/>
      </c>
      <c r="N116" s="15">
        <f>IF($A116="","",IF($B116="Etsy",IF($D116="",1,$D116)*Settings!$C$19,0))</f>
        <v/>
      </c>
      <c r="O116" s="15">
        <f>IF($A116="","",IF($B116="Etsy",Settings!$C$20*($M116+IF(Settings!$C$54="Y",0,$H116)),0))</f>
        <v/>
      </c>
      <c r="P116" s="15">
        <f>IF($A116="","",IF($B116="Etsy",Settings!$C$21*$M116*(1+Settings!$C$55)+Settings!$C$22,IF($B116="Shopify",Settings!$C$14*$M116+Settings!$C$15,0)))</f>
        <v/>
      </c>
      <c r="Q116" s="15">
        <f>IF($A116="","",IF(AND($B116="Etsy",$I116="Y"),MIN(Settings!$C$12*($M116+IF(Settings!$C$54="Y",0,$H116)),Settings!$C$25),0))</f>
        <v/>
      </c>
      <c r="R116" s="15">
        <f>IF($A116="","",IF(AND($B116="Etsy",$J116="Y",$L116="Y",$M116&gt;0),($O116+Settings!$C$21*$M116*(1+Settings!$C$55)+IF(Settings!$C$59="Y",$Q116,0))*$T116/$M116+IF(AND(Settings!$C$58="Y",$T116&gt;=$M116),Settings!$C$22,0),0))</f>
        <v/>
      </c>
      <c r="S116" s="15">
        <f>IF($A116="","",$N116+$O116+$P116+$Q116-$R116)</f>
        <v/>
      </c>
      <c r="T116" s="15">
        <f>IF($A116="","",IF($J116="Y",IF($K116="",$M116,MIN($K116,$M116)),0))</f>
        <v/>
      </c>
      <c r="U116" s="15">
        <f>IF($A116="","",IF($D116="",1,$D116)*IFERROR(INDEX(Products!$F$5:$F$54,MATCH($C116,Products!$A$5:$A$54,0)),0))</f>
        <v/>
      </c>
      <c r="V116" s="27">
        <f>IF($A116="","",$M116-$T116-$S116-$U116-$G116)</f>
        <v/>
      </c>
      <c r="W116" s="31">
        <f>IF($A116="","",IF($M116-$T116&gt;0,$V116/($M116-$T116),""))</f>
        <v/>
      </c>
      <c r="X116" s="35">
        <f>IF($A116="","",DATE(YEAR($A116),MONTH($A116),1))</f>
        <v/>
      </c>
    </row>
    <row r="117">
      <c r="A117" s="18" t="n"/>
      <c r="B117" s="13" t="n"/>
      <c r="C117" s="13" t="n"/>
      <c r="D117" s="26" t="n"/>
      <c r="E117" s="12" t="n"/>
      <c r="F117" s="12" t="n"/>
      <c r="G117" s="12" t="n"/>
      <c r="H117" s="12" t="n"/>
      <c r="I117" s="13" t="n"/>
      <c r="J117" s="13" t="n"/>
      <c r="K117" s="12" t="n"/>
      <c r="L117" s="13" t="n"/>
      <c r="M117" s="15">
        <f>IF($A117="","",IF($D117="",1,$D117)*$E117+$F117-$H117)</f>
        <v/>
      </c>
      <c r="N117" s="15">
        <f>IF($A117="","",IF($B117="Etsy",IF($D117="",1,$D117)*Settings!$C$19,0))</f>
        <v/>
      </c>
      <c r="O117" s="15">
        <f>IF($A117="","",IF($B117="Etsy",Settings!$C$20*($M117+IF(Settings!$C$54="Y",0,$H117)),0))</f>
        <v/>
      </c>
      <c r="P117" s="15">
        <f>IF($A117="","",IF($B117="Etsy",Settings!$C$21*$M117*(1+Settings!$C$55)+Settings!$C$22,IF($B117="Shopify",Settings!$C$14*$M117+Settings!$C$15,0)))</f>
        <v/>
      </c>
      <c r="Q117" s="15">
        <f>IF($A117="","",IF(AND($B117="Etsy",$I117="Y"),MIN(Settings!$C$12*($M117+IF(Settings!$C$54="Y",0,$H117)),Settings!$C$25),0))</f>
        <v/>
      </c>
      <c r="R117" s="15">
        <f>IF($A117="","",IF(AND($B117="Etsy",$J117="Y",$L117="Y",$M117&gt;0),($O117+Settings!$C$21*$M117*(1+Settings!$C$55)+IF(Settings!$C$59="Y",$Q117,0))*$T117/$M117+IF(AND(Settings!$C$58="Y",$T117&gt;=$M117),Settings!$C$22,0),0))</f>
        <v/>
      </c>
      <c r="S117" s="15">
        <f>IF($A117="","",$N117+$O117+$P117+$Q117-$R117)</f>
        <v/>
      </c>
      <c r="T117" s="15">
        <f>IF($A117="","",IF($J117="Y",IF($K117="",$M117,MIN($K117,$M117)),0))</f>
        <v/>
      </c>
      <c r="U117" s="15">
        <f>IF($A117="","",IF($D117="",1,$D117)*IFERROR(INDEX(Products!$F$5:$F$54,MATCH($C117,Products!$A$5:$A$54,0)),0))</f>
        <v/>
      </c>
      <c r="V117" s="27">
        <f>IF($A117="","",$M117-$T117-$S117-$U117-$G117)</f>
        <v/>
      </c>
      <c r="W117" s="31">
        <f>IF($A117="","",IF($M117-$T117&gt;0,$V117/($M117-$T117),""))</f>
        <v/>
      </c>
      <c r="X117" s="35">
        <f>IF($A117="","",DATE(YEAR($A117),MONTH($A117),1))</f>
        <v/>
      </c>
    </row>
    <row r="118">
      <c r="A118" s="18" t="n"/>
      <c r="B118" s="13" t="n"/>
      <c r="C118" s="13" t="n"/>
      <c r="D118" s="26" t="n"/>
      <c r="E118" s="12" t="n"/>
      <c r="F118" s="12" t="n"/>
      <c r="G118" s="12" t="n"/>
      <c r="H118" s="12" t="n"/>
      <c r="I118" s="13" t="n"/>
      <c r="J118" s="13" t="n"/>
      <c r="K118" s="12" t="n"/>
      <c r="L118" s="13" t="n"/>
      <c r="M118" s="15">
        <f>IF($A118="","",IF($D118="",1,$D118)*$E118+$F118-$H118)</f>
        <v/>
      </c>
      <c r="N118" s="15">
        <f>IF($A118="","",IF($B118="Etsy",IF($D118="",1,$D118)*Settings!$C$19,0))</f>
        <v/>
      </c>
      <c r="O118" s="15">
        <f>IF($A118="","",IF($B118="Etsy",Settings!$C$20*($M118+IF(Settings!$C$54="Y",0,$H118)),0))</f>
        <v/>
      </c>
      <c r="P118" s="15">
        <f>IF($A118="","",IF($B118="Etsy",Settings!$C$21*$M118*(1+Settings!$C$55)+Settings!$C$22,IF($B118="Shopify",Settings!$C$14*$M118+Settings!$C$15,0)))</f>
        <v/>
      </c>
      <c r="Q118" s="15">
        <f>IF($A118="","",IF(AND($B118="Etsy",$I118="Y"),MIN(Settings!$C$12*($M118+IF(Settings!$C$54="Y",0,$H118)),Settings!$C$25),0))</f>
        <v/>
      </c>
      <c r="R118" s="15">
        <f>IF($A118="","",IF(AND($B118="Etsy",$J118="Y",$L118="Y",$M118&gt;0),($O118+Settings!$C$21*$M118*(1+Settings!$C$55)+IF(Settings!$C$59="Y",$Q118,0))*$T118/$M118+IF(AND(Settings!$C$58="Y",$T118&gt;=$M118),Settings!$C$22,0),0))</f>
        <v/>
      </c>
      <c r="S118" s="15">
        <f>IF($A118="","",$N118+$O118+$P118+$Q118-$R118)</f>
        <v/>
      </c>
      <c r="T118" s="15">
        <f>IF($A118="","",IF($J118="Y",IF($K118="",$M118,MIN($K118,$M118)),0))</f>
        <v/>
      </c>
      <c r="U118" s="15">
        <f>IF($A118="","",IF($D118="",1,$D118)*IFERROR(INDEX(Products!$F$5:$F$54,MATCH($C118,Products!$A$5:$A$54,0)),0))</f>
        <v/>
      </c>
      <c r="V118" s="27">
        <f>IF($A118="","",$M118-$T118-$S118-$U118-$G118)</f>
        <v/>
      </c>
      <c r="W118" s="31">
        <f>IF($A118="","",IF($M118-$T118&gt;0,$V118/($M118-$T118),""))</f>
        <v/>
      </c>
      <c r="X118" s="35">
        <f>IF($A118="","",DATE(YEAR($A118),MONTH($A118),1))</f>
        <v/>
      </c>
    </row>
    <row r="119">
      <c r="A119" s="18" t="n"/>
      <c r="B119" s="13" t="n"/>
      <c r="C119" s="13" t="n"/>
      <c r="D119" s="26" t="n"/>
      <c r="E119" s="12" t="n"/>
      <c r="F119" s="12" t="n"/>
      <c r="G119" s="12" t="n"/>
      <c r="H119" s="12" t="n"/>
      <c r="I119" s="13" t="n"/>
      <c r="J119" s="13" t="n"/>
      <c r="K119" s="12" t="n"/>
      <c r="L119" s="13" t="n"/>
      <c r="M119" s="15">
        <f>IF($A119="","",IF($D119="",1,$D119)*$E119+$F119-$H119)</f>
        <v/>
      </c>
      <c r="N119" s="15">
        <f>IF($A119="","",IF($B119="Etsy",IF($D119="",1,$D119)*Settings!$C$19,0))</f>
        <v/>
      </c>
      <c r="O119" s="15">
        <f>IF($A119="","",IF($B119="Etsy",Settings!$C$20*($M119+IF(Settings!$C$54="Y",0,$H119)),0))</f>
        <v/>
      </c>
      <c r="P119" s="15">
        <f>IF($A119="","",IF($B119="Etsy",Settings!$C$21*$M119*(1+Settings!$C$55)+Settings!$C$22,IF($B119="Shopify",Settings!$C$14*$M119+Settings!$C$15,0)))</f>
        <v/>
      </c>
      <c r="Q119" s="15">
        <f>IF($A119="","",IF(AND($B119="Etsy",$I119="Y"),MIN(Settings!$C$12*($M119+IF(Settings!$C$54="Y",0,$H119)),Settings!$C$25),0))</f>
        <v/>
      </c>
      <c r="R119" s="15">
        <f>IF($A119="","",IF(AND($B119="Etsy",$J119="Y",$L119="Y",$M119&gt;0),($O119+Settings!$C$21*$M119*(1+Settings!$C$55)+IF(Settings!$C$59="Y",$Q119,0))*$T119/$M119+IF(AND(Settings!$C$58="Y",$T119&gt;=$M119),Settings!$C$22,0),0))</f>
        <v/>
      </c>
      <c r="S119" s="15">
        <f>IF($A119="","",$N119+$O119+$P119+$Q119-$R119)</f>
        <v/>
      </c>
      <c r="T119" s="15">
        <f>IF($A119="","",IF($J119="Y",IF($K119="",$M119,MIN($K119,$M119)),0))</f>
        <v/>
      </c>
      <c r="U119" s="15">
        <f>IF($A119="","",IF($D119="",1,$D119)*IFERROR(INDEX(Products!$F$5:$F$54,MATCH($C119,Products!$A$5:$A$54,0)),0))</f>
        <v/>
      </c>
      <c r="V119" s="27">
        <f>IF($A119="","",$M119-$T119-$S119-$U119-$G119)</f>
        <v/>
      </c>
      <c r="W119" s="31">
        <f>IF($A119="","",IF($M119-$T119&gt;0,$V119/($M119-$T119),""))</f>
        <v/>
      </c>
      <c r="X119" s="35">
        <f>IF($A119="","",DATE(YEAR($A119),MONTH($A119),1))</f>
        <v/>
      </c>
    </row>
    <row r="120">
      <c r="A120" s="18" t="n"/>
      <c r="B120" s="13" t="n"/>
      <c r="C120" s="13" t="n"/>
      <c r="D120" s="26" t="n"/>
      <c r="E120" s="12" t="n"/>
      <c r="F120" s="12" t="n"/>
      <c r="G120" s="12" t="n"/>
      <c r="H120" s="12" t="n"/>
      <c r="I120" s="13" t="n"/>
      <c r="J120" s="13" t="n"/>
      <c r="K120" s="12" t="n"/>
      <c r="L120" s="13" t="n"/>
      <c r="M120" s="15">
        <f>IF($A120="","",IF($D120="",1,$D120)*$E120+$F120-$H120)</f>
        <v/>
      </c>
      <c r="N120" s="15">
        <f>IF($A120="","",IF($B120="Etsy",IF($D120="",1,$D120)*Settings!$C$19,0))</f>
        <v/>
      </c>
      <c r="O120" s="15">
        <f>IF($A120="","",IF($B120="Etsy",Settings!$C$20*($M120+IF(Settings!$C$54="Y",0,$H120)),0))</f>
        <v/>
      </c>
      <c r="P120" s="15">
        <f>IF($A120="","",IF($B120="Etsy",Settings!$C$21*$M120*(1+Settings!$C$55)+Settings!$C$22,IF($B120="Shopify",Settings!$C$14*$M120+Settings!$C$15,0)))</f>
        <v/>
      </c>
      <c r="Q120" s="15">
        <f>IF($A120="","",IF(AND($B120="Etsy",$I120="Y"),MIN(Settings!$C$12*($M120+IF(Settings!$C$54="Y",0,$H120)),Settings!$C$25),0))</f>
        <v/>
      </c>
      <c r="R120" s="15">
        <f>IF($A120="","",IF(AND($B120="Etsy",$J120="Y",$L120="Y",$M120&gt;0),($O120+Settings!$C$21*$M120*(1+Settings!$C$55)+IF(Settings!$C$59="Y",$Q120,0))*$T120/$M120+IF(AND(Settings!$C$58="Y",$T120&gt;=$M120),Settings!$C$22,0),0))</f>
        <v/>
      </c>
      <c r="S120" s="15">
        <f>IF($A120="","",$N120+$O120+$P120+$Q120-$R120)</f>
        <v/>
      </c>
      <c r="T120" s="15">
        <f>IF($A120="","",IF($J120="Y",IF($K120="",$M120,MIN($K120,$M120)),0))</f>
        <v/>
      </c>
      <c r="U120" s="15">
        <f>IF($A120="","",IF($D120="",1,$D120)*IFERROR(INDEX(Products!$F$5:$F$54,MATCH($C120,Products!$A$5:$A$54,0)),0))</f>
        <v/>
      </c>
      <c r="V120" s="27">
        <f>IF($A120="","",$M120-$T120-$S120-$U120-$G120)</f>
        <v/>
      </c>
      <c r="W120" s="31">
        <f>IF($A120="","",IF($M120-$T120&gt;0,$V120/($M120-$T120),""))</f>
        <v/>
      </c>
      <c r="X120" s="35">
        <f>IF($A120="","",DATE(YEAR($A120),MONTH($A120),1))</f>
        <v/>
      </c>
    </row>
    <row r="121">
      <c r="A121" s="18" t="n"/>
      <c r="B121" s="13" t="n"/>
      <c r="C121" s="13" t="n"/>
      <c r="D121" s="26" t="n"/>
      <c r="E121" s="12" t="n"/>
      <c r="F121" s="12" t="n"/>
      <c r="G121" s="12" t="n"/>
      <c r="H121" s="12" t="n"/>
      <c r="I121" s="13" t="n"/>
      <c r="J121" s="13" t="n"/>
      <c r="K121" s="12" t="n"/>
      <c r="L121" s="13" t="n"/>
      <c r="M121" s="15">
        <f>IF($A121="","",IF($D121="",1,$D121)*$E121+$F121-$H121)</f>
        <v/>
      </c>
      <c r="N121" s="15">
        <f>IF($A121="","",IF($B121="Etsy",IF($D121="",1,$D121)*Settings!$C$19,0))</f>
        <v/>
      </c>
      <c r="O121" s="15">
        <f>IF($A121="","",IF($B121="Etsy",Settings!$C$20*($M121+IF(Settings!$C$54="Y",0,$H121)),0))</f>
        <v/>
      </c>
      <c r="P121" s="15">
        <f>IF($A121="","",IF($B121="Etsy",Settings!$C$21*$M121*(1+Settings!$C$55)+Settings!$C$22,IF($B121="Shopify",Settings!$C$14*$M121+Settings!$C$15,0)))</f>
        <v/>
      </c>
      <c r="Q121" s="15">
        <f>IF($A121="","",IF(AND($B121="Etsy",$I121="Y"),MIN(Settings!$C$12*($M121+IF(Settings!$C$54="Y",0,$H121)),Settings!$C$25),0))</f>
        <v/>
      </c>
      <c r="R121" s="15">
        <f>IF($A121="","",IF(AND($B121="Etsy",$J121="Y",$L121="Y",$M121&gt;0),($O121+Settings!$C$21*$M121*(1+Settings!$C$55)+IF(Settings!$C$59="Y",$Q121,0))*$T121/$M121+IF(AND(Settings!$C$58="Y",$T121&gt;=$M121),Settings!$C$22,0),0))</f>
        <v/>
      </c>
      <c r="S121" s="15">
        <f>IF($A121="","",$N121+$O121+$P121+$Q121-$R121)</f>
        <v/>
      </c>
      <c r="T121" s="15">
        <f>IF($A121="","",IF($J121="Y",IF($K121="",$M121,MIN($K121,$M121)),0))</f>
        <v/>
      </c>
      <c r="U121" s="15">
        <f>IF($A121="","",IF($D121="",1,$D121)*IFERROR(INDEX(Products!$F$5:$F$54,MATCH($C121,Products!$A$5:$A$54,0)),0))</f>
        <v/>
      </c>
      <c r="V121" s="27">
        <f>IF($A121="","",$M121-$T121-$S121-$U121-$G121)</f>
        <v/>
      </c>
      <c r="W121" s="31">
        <f>IF($A121="","",IF($M121-$T121&gt;0,$V121/($M121-$T121),""))</f>
        <v/>
      </c>
      <c r="X121" s="35">
        <f>IF($A121="","",DATE(YEAR($A121),MONTH($A121),1))</f>
        <v/>
      </c>
    </row>
    <row r="122">
      <c r="A122" s="18" t="n"/>
      <c r="B122" s="13" t="n"/>
      <c r="C122" s="13" t="n"/>
      <c r="D122" s="26" t="n"/>
      <c r="E122" s="12" t="n"/>
      <c r="F122" s="12" t="n"/>
      <c r="G122" s="12" t="n"/>
      <c r="H122" s="12" t="n"/>
      <c r="I122" s="13" t="n"/>
      <c r="J122" s="13" t="n"/>
      <c r="K122" s="12" t="n"/>
      <c r="L122" s="13" t="n"/>
      <c r="M122" s="15">
        <f>IF($A122="","",IF($D122="",1,$D122)*$E122+$F122-$H122)</f>
        <v/>
      </c>
      <c r="N122" s="15">
        <f>IF($A122="","",IF($B122="Etsy",IF($D122="",1,$D122)*Settings!$C$19,0))</f>
        <v/>
      </c>
      <c r="O122" s="15">
        <f>IF($A122="","",IF($B122="Etsy",Settings!$C$20*($M122+IF(Settings!$C$54="Y",0,$H122)),0))</f>
        <v/>
      </c>
      <c r="P122" s="15">
        <f>IF($A122="","",IF($B122="Etsy",Settings!$C$21*$M122*(1+Settings!$C$55)+Settings!$C$22,IF($B122="Shopify",Settings!$C$14*$M122+Settings!$C$15,0)))</f>
        <v/>
      </c>
      <c r="Q122" s="15">
        <f>IF($A122="","",IF(AND($B122="Etsy",$I122="Y"),MIN(Settings!$C$12*($M122+IF(Settings!$C$54="Y",0,$H122)),Settings!$C$25),0))</f>
        <v/>
      </c>
      <c r="R122" s="15">
        <f>IF($A122="","",IF(AND($B122="Etsy",$J122="Y",$L122="Y",$M122&gt;0),($O122+Settings!$C$21*$M122*(1+Settings!$C$55)+IF(Settings!$C$59="Y",$Q122,0))*$T122/$M122+IF(AND(Settings!$C$58="Y",$T122&gt;=$M122),Settings!$C$22,0),0))</f>
        <v/>
      </c>
      <c r="S122" s="15">
        <f>IF($A122="","",$N122+$O122+$P122+$Q122-$R122)</f>
        <v/>
      </c>
      <c r="T122" s="15">
        <f>IF($A122="","",IF($J122="Y",IF($K122="",$M122,MIN($K122,$M122)),0))</f>
        <v/>
      </c>
      <c r="U122" s="15">
        <f>IF($A122="","",IF($D122="",1,$D122)*IFERROR(INDEX(Products!$F$5:$F$54,MATCH($C122,Products!$A$5:$A$54,0)),0))</f>
        <v/>
      </c>
      <c r="V122" s="27">
        <f>IF($A122="","",$M122-$T122-$S122-$U122-$G122)</f>
        <v/>
      </c>
      <c r="W122" s="31">
        <f>IF($A122="","",IF($M122-$T122&gt;0,$V122/($M122-$T122),""))</f>
        <v/>
      </c>
      <c r="X122" s="35">
        <f>IF($A122="","",DATE(YEAR($A122),MONTH($A122),1))</f>
        <v/>
      </c>
    </row>
    <row r="123">
      <c r="A123" s="18" t="n"/>
      <c r="B123" s="13" t="n"/>
      <c r="C123" s="13" t="n"/>
      <c r="D123" s="26" t="n"/>
      <c r="E123" s="12" t="n"/>
      <c r="F123" s="12" t="n"/>
      <c r="G123" s="12" t="n"/>
      <c r="H123" s="12" t="n"/>
      <c r="I123" s="13" t="n"/>
      <c r="J123" s="13" t="n"/>
      <c r="K123" s="12" t="n"/>
      <c r="L123" s="13" t="n"/>
      <c r="M123" s="15">
        <f>IF($A123="","",IF($D123="",1,$D123)*$E123+$F123-$H123)</f>
        <v/>
      </c>
      <c r="N123" s="15">
        <f>IF($A123="","",IF($B123="Etsy",IF($D123="",1,$D123)*Settings!$C$19,0))</f>
        <v/>
      </c>
      <c r="O123" s="15">
        <f>IF($A123="","",IF($B123="Etsy",Settings!$C$20*($M123+IF(Settings!$C$54="Y",0,$H123)),0))</f>
        <v/>
      </c>
      <c r="P123" s="15">
        <f>IF($A123="","",IF($B123="Etsy",Settings!$C$21*$M123*(1+Settings!$C$55)+Settings!$C$22,IF($B123="Shopify",Settings!$C$14*$M123+Settings!$C$15,0)))</f>
        <v/>
      </c>
      <c r="Q123" s="15">
        <f>IF($A123="","",IF(AND($B123="Etsy",$I123="Y"),MIN(Settings!$C$12*($M123+IF(Settings!$C$54="Y",0,$H123)),Settings!$C$25),0))</f>
        <v/>
      </c>
      <c r="R123" s="15">
        <f>IF($A123="","",IF(AND($B123="Etsy",$J123="Y",$L123="Y",$M123&gt;0),($O123+Settings!$C$21*$M123*(1+Settings!$C$55)+IF(Settings!$C$59="Y",$Q123,0))*$T123/$M123+IF(AND(Settings!$C$58="Y",$T123&gt;=$M123),Settings!$C$22,0),0))</f>
        <v/>
      </c>
      <c r="S123" s="15">
        <f>IF($A123="","",$N123+$O123+$P123+$Q123-$R123)</f>
        <v/>
      </c>
      <c r="T123" s="15">
        <f>IF($A123="","",IF($J123="Y",IF($K123="",$M123,MIN($K123,$M123)),0))</f>
        <v/>
      </c>
      <c r="U123" s="15">
        <f>IF($A123="","",IF($D123="",1,$D123)*IFERROR(INDEX(Products!$F$5:$F$54,MATCH($C123,Products!$A$5:$A$54,0)),0))</f>
        <v/>
      </c>
      <c r="V123" s="27">
        <f>IF($A123="","",$M123-$T123-$S123-$U123-$G123)</f>
        <v/>
      </c>
      <c r="W123" s="31">
        <f>IF($A123="","",IF($M123-$T123&gt;0,$V123/($M123-$T123),""))</f>
        <v/>
      </c>
      <c r="X123" s="35">
        <f>IF($A123="","",DATE(YEAR($A123),MONTH($A123),1))</f>
        <v/>
      </c>
    </row>
    <row r="124">
      <c r="A124" s="18" t="n"/>
      <c r="B124" s="13" t="n"/>
      <c r="C124" s="13" t="n"/>
      <c r="D124" s="26" t="n"/>
      <c r="E124" s="12" t="n"/>
      <c r="F124" s="12" t="n"/>
      <c r="G124" s="12" t="n"/>
      <c r="H124" s="12" t="n"/>
      <c r="I124" s="13" t="n"/>
      <c r="J124" s="13" t="n"/>
      <c r="K124" s="12" t="n"/>
      <c r="L124" s="13" t="n"/>
      <c r="M124" s="15">
        <f>IF($A124="","",IF($D124="",1,$D124)*$E124+$F124-$H124)</f>
        <v/>
      </c>
      <c r="N124" s="15">
        <f>IF($A124="","",IF($B124="Etsy",IF($D124="",1,$D124)*Settings!$C$19,0))</f>
        <v/>
      </c>
      <c r="O124" s="15">
        <f>IF($A124="","",IF($B124="Etsy",Settings!$C$20*($M124+IF(Settings!$C$54="Y",0,$H124)),0))</f>
        <v/>
      </c>
      <c r="P124" s="15">
        <f>IF($A124="","",IF($B124="Etsy",Settings!$C$21*$M124*(1+Settings!$C$55)+Settings!$C$22,IF($B124="Shopify",Settings!$C$14*$M124+Settings!$C$15,0)))</f>
        <v/>
      </c>
      <c r="Q124" s="15">
        <f>IF($A124="","",IF(AND($B124="Etsy",$I124="Y"),MIN(Settings!$C$12*($M124+IF(Settings!$C$54="Y",0,$H124)),Settings!$C$25),0))</f>
        <v/>
      </c>
      <c r="R124" s="15">
        <f>IF($A124="","",IF(AND($B124="Etsy",$J124="Y",$L124="Y",$M124&gt;0),($O124+Settings!$C$21*$M124*(1+Settings!$C$55)+IF(Settings!$C$59="Y",$Q124,0))*$T124/$M124+IF(AND(Settings!$C$58="Y",$T124&gt;=$M124),Settings!$C$22,0),0))</f>
        <v/>
      </c>
      <c r="S124" s="15">
        <f>IF($A124="","",$N124+$O124+$P124+$Q124-$R124)</f>
        <v/>
      </c>
      <c r="T124" s="15">
        <f>IF($A124="","",IF($J124="Y",IF($K124="",$M124,MIN($K124,$M124)),0))</f>
        <v/>
      </c>
      <c r="U124" s="15">
        <f>IF($A124="","",IF($D124="",1,$D124)*IFERROR(INDEX(Products!$F$5:$F$54,MATCH($C124,Products!$A$5:$A$54,0)),0))</f>
        <v/>
      </c>
      <c r="V124" s="27">
        <f>IF($A124="","",$M124-$T124-$S124-$U124-$G124)</f>
        <v/>
      </c>
      <c r="W124" s="31">
        <f>IF($A124="","",IF($M124-$T124&gt;0,$V124/($M124-$T124),""))</f>
        <v/>
      </c>
      <c r="X124" s="35">
        <f>IF($A124="","",DATE(YEAR($A124),MONTH($A124),1))</f>
        <v/>
      </c>
    </row>
    <row r="125">
      <c r="A125" s="18" t="n"/>
      <c r="B125" s="13" t="n"/>
      <c r="C125" s="13" t="n"/>
      <c r="D125" s="26" t="n"/>
      <c r="E125" s="12" t="n"/>
      <c r="F125" s="12" t="n"/>
      <c r="G125" s="12" t="n"/>
      <c r="H125" s="12" t="n"/>
      <c r="I125" s="13" t="n"/>
      <c r="J125" s="13" t="n"/>
      <c r="K125" s="12" t="n"/>
      <c r="L125" s="13" t="n"/>
      <c r="M125" s="15">
        <f>IF($A125="","",IF($D125="",1,$D125)*$E125+$F125-$H125)</f>
        <v/>
      </c>
      <c r="N125" s="15">
        <f>IF($A125="","",IF($B125="Etsy",IF($D125="",1,$D125)*Settings!$C$19,0))</f>
        <v/>
      </c>
      <c r="O125" s="15">
        <f>IF($A125="","",IF($B125="Etsy",Settings!$C$20*($M125+IF(Settings!$C$54="Y",0,$H125)),0))</f>
        <v/>
      </c>
      <c r="P125" s="15">
        <f>IF($A125="","",IF($B125="Etsy",Settings!$C$21*$M125*(1+Settings!$C$55)+Settings!$C$22,IF($B125="Shopify",Settings!$C$14*$M125+Settings!$C$15,0)))</f>
        <v/>
      </c>
      <c r="Q125" s="15">
        <f>IF($A125="","",IF(AND($B125="Etsy",$I125="Y"),MIN(Settings!$C$12*($M125+IF(Settings!$C$54="Y",0,$H125)),Settings!$C$25),0))</f>
        <v/>
      </c>
      <c r="R125" s="15">
        <f>IF($A125="","",IF(AND($B125="Etsy",$J125="Y",$L125="Y",$M125&gt;0),($O125+Settings!$C$21*$M125*(1+Settings!$C$55)+IF(Settings!$C$59="Y",$Q125,0))*$T125/$M125+IF(AND(Settings!$C$58="Y",$T125&gt;=$M125),Settings!$C$22,0),0))</f>
        <v/>
      </c>
      <c r="S125" s="15">
        <f>IF($A125="","",$N125+$O125+$P125+$Q125-$R125)</f>
        <v/>
      </c>
      <c r="T125" s="15">
        <f>IF($A125="","",IF($J125="Y",IF($K125="",$M125,MIN($K125,$M125)),0))</f>
        <v/>
      </c>
      <c r="U125" s="15">
        <f>IF($A125="","",IF($D125="",1,$D125)*IFERROR(INDEX(Products!$F$5:$F$54,MATCH($C125,Products!$A$5:$A$54,0)),0))</f>
        <v/>
      </c>
      <c r="V125" s="27">
        <f>IF($A125="","",$M125-$T125-$S125-$U125-$G125)</f>
        <v/>
      </c>
      <c r="W125" s="31">
        <f>IF($A125="","",IF($M125-$T125&gt;0,$V125/($M125-$T125),""))</f>
        <v/>
      </c>
      <c r="X125" s="35">
        <f>IF($A125="","",DATE(YEAR($A125),MONTH($A125),1))</f>
        <v/>
      </c>
    </row>
    <row r="126">
      <c r="A126" s="18" t="n"/>
      <c r="B126" s="13" t="n"/>
      <c r="C126" s="13" t="n"/>
      <c r="D126" s="26" t="n"/>
      <c r="E126" s="12" t="n"/>
      <c r="F126" s="12" t="n"/>
      <c r="G126" s="12" t="n"/>
      <c r="H126" s="12" t="n"/>
      <c r="I126" s="13" t="n"/>
      <c r="J126" s="13" t="n"/>
      <c r="K126" s="12" t="n"/>
      <c r="L126" s="13" t="n"/>
      <c r="M126" s="15">
        <f>IF($A126="","",IF($D126="",1,$D126)*$E126+$F126-$H126)</f>
        <v/>
      </c>
      <c r="N126" s="15">
        <f>IF($A126="","",IF($B126="Etsy",IF($D126="",1,$D126)*Settings!$C$19,0))</f>
        <v/>
      </c>
      <c r="O126" s="15">
        <f>IF($A126="","",IF($B126="Etsy",Settings!$C$20*($M126+IF(Settings!$C$54="Y",0,$H126)),0))</f>
        <v/>
      </c>
      <c r="P126" s="15">
        <f>IF($A126="","",IF($B126="Etsy",Settings!$C$21*$M126*(1+Settings!$C$55)+Settings!$C$22,IF($B126="Shopify",Settings!$C$14*$M126+Settings!$C$15,0)))</f>
        <v/>
      </c>
      <c r="Q126" s="15">
        <f>IF($A126="","",IF(AND($B126="Etsy",$I126="Y"),MIN(Settings!$C$12*($M126+IF(Settings!$C$54="Y",0,$H126)),Settings!$C$25),0))</f>
        <v/>
      </c>
      <c r="R126" s="15">
        <f>IF($A126="","",IF(AND($B126="Etsy",$J126="Y",$L126="Y",$M126&gt;0),($O126+Settings!$C$21*$M126*(1+Settings!$C$55)+IF(Settings!$C$59="Y",$Q126,0))*$T126/$M126+IF(AND(Settings!$C$58="Y",$T126&gt;=$M126),Settings!$C$22,0),0))</f>
        <v/>
      </c>
      <c r="S126" s="15">
        <f>IF($A126="","",$N126+$O126+$P126+$Q126-$R126)</f>
        <v/>
      </c>
      <c r="T126" s="15">
        <f>IF($A126="","",IF($J126="Y",IF($K126="",$M126,MIN($K126,$M126)),0))</f>
        <v/>
      </c>
      <c r="U126" s="15">
        <f>IF($A126="","",IF($D126="",1,$D126)*IFERROR(INDEX(Products!$F$5:$F$54,MATCH($C126,Products!$A$5:$A$54,0)),0))</f>
        <v/>
      </c>
      <c r="V126" s="27">
        <f>IF($A126="","",$M126-$T126-$S126-$U126-$G126)</f>
        <v/>
      </c>
      <c r="W126" s="31">
        <f>IF($A126="","",IF($M126-$T126&gt;0,$V126/($M126-$T126),""))</f>
        <v/>
      </c>
      <c r="X126" s="35">
        <f>IF($A126="","",DATE(YEAR($A126),MONTH($A126),1))</f>
        <v/>
      </c>
    </row>
    <row r="127">
      <c r="A127" s="18" t="n"/>
      <c r="B127" s="13" t="n"/>
      <c r="C127" s="13" t="n"/>
      <c r="D127" s="26" t="n"/>
      <c r="E127" s="12" t="n"/>
      <c r="F127" s="12" t="n"/>
      <c r="G127" s="12" t="n"/>
      <c r="H127" s="12" t="n"/>
      <c r="I127" s="13" t="n"/>
      <c r="J127" s="13" t="n"/>
      <c r="K127" s="12" t="n"/>
      <c r="L127" s="13" t="n"/>
      <c r="M127" s="15">
        <f>IF($A127="","",IF($D127="",1,$D127)*$E127+$F127-$H127)</f>
        <v/>
      </c>
      <c r="N127" s="15">
        <f>IF($A127="","",IF($B127="Etsy",IF($D127="",1,$D127)*Settings!$C$19,0))</f>
        <v/>
      </c>
      <c r="O127" s="15">
        <f>IF($A127="","",IF($B127="Etsy",Settings!$C$20*($M127+IF(Settings!$C$54="Y",0,$H127)),0))</f>
        <v/>
      </c>
      <c r="P127" s="15">
        <f>IF($A127="","",IF($B127="Etsy",Settings!$C$21*$M127*(1+Settings!$C$55)+Settings!$C$22,IF($B127="Shopify",Settings!$C$14*$M127+Settings!$C$15,0)))</f>
        <v/>
      </c>
      <c r="Q127" s="15">
        <f>IF($A127="","",IF(AND($B127="Etsy",$I127="Y"),MIN(Settings!$C$12*($M127+IF(Settings!$C$54="Y",0,$H127)),Settings!$C$25),0))</f>
        <v/>
      </c>
      <c r="R127" s="15">
        <f>IF($A127="","",IF(AND($B127="Etsy",$J127="Y",$L127="Y",$M127&gt;0),($O127+Settings!$C$21*$M127*(1+Settings!$C$55)+IF(Settings!$C$59="Y",$Q127,0))*$T127/$M127+IF(AND(Settings!$C$58="Y",$T127&gt;=$M127),Settings!$C$22,0),0))</f>
        <v/>
      </c>
      <c r="S127" s="15">
        <f>IF($A127="","",$N127+$O127+$P127+$Q127-$R127)</f>
        <v/>
      </c>
      <c r="T127" s="15">
        <f>IF($A127="","",IF($J127="Y",IF($K127="",$M127,MIN($K127,$M127)),0))</f>
        <v/>
      </c>
      <c r="U127" s="15">
        <f>IF($A127="","",IF($D127="",1,$D127)*IFERROR(INDEX(Products!$F$5:$F$54,MATCH($C127,Products!$A$5:$A$54,0)),0))</f>
        <v/>
      </c>
      <c r="V127" s="27">
        <f>IF($A127="","",$M127-$T127-$S127-$U127-$G127)</f>
        <v/>
      </c>
      <c r="W127" s="31">
        <f>IF($A127="","",IF($M127-$T127&gt;0,$V127/($M127-$T127),""))</f>
        <v/>
      </c>
      <c r="X127" s="35">
        <f>IF($A127="","",DATE(YEAR($A127),MONTH($A127),1))</f>
        <v/>
      </c>
    </row>
    <row r="128">
      <c r="A128" s="18" t="n"/>
      <c r="B128" s="13" t="n"/>
      <c r="C128" s="13" t="n"/>
      <c r="D128" s="26" t="n"/>
      <c r="E128" s="12" t="n"/>
      <c r="F128" s="12" t="n"/>
      <c r="G128" s="12" t="n"/>
      <c r="H128" s="12" t="n"/>
      <c r="I128" s="13" t="n"/>
      <c r="J128" s="13" t="n"/>
      <c r="K128" s="12" t="n"/>
      <c r="L128" s="13" t="n"/>
      <c r="M128" s="15">
        <f>IF($A128="","",IF($D128="",1,$D128)*$E128+$F128-$H128)</f>
        <v/>
      </c>
      <c r="N128" s="15">
        <f>IF($A128="","",IF($B128="Etsy",IF($D128="",1,$D128)*Settings!$C$19,0))</f>
        <v/>
      </c>
      <c r="O128" s="15">
        <f>IF($A128="","",IF($B128="Etsy",Settings!$C$20*($M128+IF(Settings!$C$54="Y",0,$H128)),0))</f>
        <v/>
      </c>
      <c r="P128" s="15">
        <f>IF($A128="","",IF($B128="Etsy",Settings!$C$21*$M128*(1+Settings!$C$55)+Settings!$C$22,IF($B128="Shopify",Settings!$C$14*$M128+Settings!$C$15,0)))</f>
        <v/>
      </c>
      <c r="Q128" s="15">
        <f>IF($A128="","",IF(AND($B128="Etsy",$I128="Y"),MIN(Settings!$C$12*($M128+IF(Settings!$C$54="Y",0,$H128)),Settings!$C$25),0))</f>
        <v/>
      </c>
      <c r="R128" s="15">
        <f>IF($A128="","",IF(AND($B128="Etsy",$J128="Y",$L128="Y",$M128&gt;0),($O128+Settings!$C$21*$M128*(1+Settings!$C$55)+IF(Settings!$C$59="Y",$Q128,0))*$T128/$M128+IF(AND(Settings!$C$58="Y",$T128&gt;=$M128),Settings!$C$22,0),0))</f>
        <v/>
      </c>
      <c r="S128" s="15">
        <f>IF($A128="","",$N128+$O128+$P128+$Q128-$R128)</f>
        <v/>
      </c>
      <c r="T128" s="15">
        <f>IF($A128="","",IF($J128="Y",IF($K128="",$M128,MIN($K128,$M128)),0))</f>
        <v/>
      </c>
      <c r="U128" s="15">
        <f>IF($A128="","",IF($D128="",1,$D128)*IFERROR(INDEX(Products!$F$5:$F$54,MATCH($C128,Products!$A$5:$A$54,0)),0))</f>
        <v/>
      </c>
      <c r="V128" s="27">
        <f>IF($A128="","",$M128-$T128-$S128-$U128-$G128)</f>
        <v/>
      </c>
      <c r="W128" s="31">
        <f>IF($A128="","",IF($M128-$T128&gt;0,$V128/($M128-$T128),""))</f>
        <v/>
      </c>
      <c r="X128" s="35">
        <f>IF($A128="","",DATE(YEAR($A128),MONTH($A128),1))</f>
        <v/>
      </c>
    </row>
    <row r="129">
      <c r="A129" s="18" t="n"/>
      <c r="B129" s="13" t="n"/>
      <c r="C129" s="13" t="n"/>
      <c r="D129" s="26" t="n"/>
      <c r="E129" s="12" t="n"/>
      <c r="F129" s="12" t="n"/>
      <c r="G129" s="12" t="n"/>
      <c r="H129" s="12" t="n"/>
      <c r="I129" s="13" t="n"/>
      <c r="J129" s="13" t="n"/>
      <c r="K129" s="12" t="n"/>
      <c r="L129" s="13" t="n"/>
      <c r="M129" s="15">
        <f>IF($A129="","",IF($D129="",1,$D129)*$E129+$F129-$H129)</f>
        <v/>
      </c>
      <c r="N129" s="15">
        <f>IF($A129="","",IF($B129="Etsy",IF($D129="",1,$D129)*Settings!$C$19,0))</f>
        <v/>
      </c>
      <c r="O129" s="15">
        <f>IF($A129="","",IF($B129="Etsy",Settings!$C$20*($M129+IF(Settings!$C$54="Y",0,$H129)),0))</f>
        <v/>
      </c>
      <c r="P129" s="15">
        <f>IF($A129="","",IF($B129="Etsy",Settings!$C$21*$M129*(1+Settings!$C$55)+Settings!$C$22,IF($B129="Shopify",Settings!$C$14*$M129+Settings!$C$15,0)))</f>
        <v/>
      </c>
      <c r="Q129" s="15">
        <f>IF($A129="","",IF(AND($B129="Etsy",$I129="Y"),MIN(Settings!$C$12*($M129+IF(Settings!$C$54="Y",0,$H129)),Settings!$C$25),0))</f>
        <v/>
      </c>
      <c r="R129" s="15">
        <f>IF($A129="","",IF(AND($B129="Etsy",$J129="Y",$L129="Y",$M129&gt;0),($O129+Settings!$C$21*$M129*(1+Settings!$C$55)+IF(Settings!$C$59="Y",$Q129,0))*$T129/$M129+IF(AND(Settings!$C$58="Y",$T129&gt;=$M129),Settings!$C$22,0),0))</f>
        <v/>
      </c>
      <c r="S129" s="15">
        <f>IF($A129="","",$N129+$O129+$P129+$Q129-$R129)</f>
        <v/>
      </c>
      <c r="T129" s="15">
        <f>IF($A129="","",IF($J129="Y",IF($K129="",$M129,MIN($K129,$M129)),0))</f>
        <v/>
      </c>
      <c r="U129" s="15">
        <f>IF($A129="","",IF($D129="",1,$D129)*IFERROR(INDEX(Products!$F$5:$F$54,MATCH($C129,Products!$A$5:$A$54,0)),0))</f>
        <v/>
      </c>
      <c r="V129" s="27">
        <f>IF($A129="","",$M129-$T129-$S129-$U129-$G129)</f>
        <v/>
      </c>
      <c r="W129" s="31">
        <f>IF($A129="","",IF($M129-$T129&gt;0,$V129/($M129-$T129),""))</f>
        <v/>
      </c>
      <c r="X129" s="35">
        <f>IF($A129="","",DATE(YEAR($A129),MONTH($A129),1))</f>
        <v/>
      </c>
    </row>
    <row r="130">
      <c r="A130" s="18" t="n"/>
      <c r="B130" s="13" t="n"/>
      <c r="C130" s="13" t="n"/>
      <c r="D130" s="26" t="n"/>
      <c r="E130" s="12" t="n"/>
      <c r="F130" s="12" t="n"/>
      <c r="G130" s="12" t="n"/>
      <c r="H130" s="12" t="n"/>
      <c r="I130" s="13" t="n"/>
      <c r="J130" s="13" t="n"/>
      <c r="K130" s="12" t="n"/>
      <c r="L130" s="13" t="n"/>
      <c r="M130" s="15">
        <f>IF($A130="","",IF($D130="",1,$D130)*$E130+$F130-$H130)</f>
        <v/>
      </c>
      <c r="N130" s="15">
        <f>IF($A130="","",IF($B130="Etsy",IF($D130="",1,$D130)*Settings!$C$19,0))</f>
        <v/>
      </c>
      <c r="O130" s="15">
        <f>IF($A130="","",IF($B130="Etsy",Settings!$C$20*($M130+IF(Settings!$C$54="Y",0,$H130)),0))</f>
        <v/>
      </c>
      <c r="P130" s="15">
        <f>IF($A130="","",IF($B130="Etsy",Settings!$C$21*$M130*(1+Settings!$C$55)+Settings!$C$22,IF($B130="Shopify",Settings!$C$14*$M130+Settings!$C$15,0)))</f>
        <v/>
      </c>
      <c r="Q130" s="15">
        <f>IF($A130="","",IF(AND($B130="Etsy",$I130="Y"),MIN(Settings!$C$12*($M130+IF(Settings!$C$54="Y",0,$H130)),Settings!$C$25),0))</f>
        <v/>
      </c>
      <c r="R130" s="15">
        <f>IF($A130="","",IF(AND($B130="Etsy",$J130="Y",$L130="Y",$M130&gt;0),($O130+Settings!$C$21*$M130*(1+Settings!$C$55)+IF(Settings!$C$59="Y",$Q130,0))*$T130/$M130+IF(AND(Settings!$C$58="Y",$T130&gt;=$M130),Settings!$C$22,0),0))</f>
        <v/>
      </c>
      <c r="S130" s="15">
        <f>IF($A130="","",$N130+$O130+$P130+$Q130-$R130)</f>
        <v/>
      </c>
      <c r="T130" s="15">
        <f>IF($A130="","",IF($J130="Y",IF($K130="",$M130,MIN($K130,$M130)),0))</f>
        <v/>
      </c>
      <c r="U130" s="15">
        <f>IF($A130="","",IF($D130="",1,$D130)*IFERROR(INDEX(Products!$F$5:$F$54,MATCH($C130,Products!$A$5:$A$54,0)),0))</f>
        <v/>
      </c>
      <c r="V130" s="27">
        <f>IF($A130="","",$M130-$T130-$S130-$U130-$G130)</f>
        <v/>
      </c>
      <c r="W130" s="31">
        <f>IF($A130="","",IF($M130-$T130&gt;0,$V130/($M130-$T130),""))</f>
        <v/>
      </c>
      <c r="X130" s="35">
        <f>IF($A130="","",DATE(YEAR($A130),MONTH($A130),1))</f>
        <v/>
      </c>
    </row>
    <row r="131">
      <c r="A131" s="18" t="n"/>
      <c r="B131" s="13" t="n"/>
      <c r="C131" s="13" t="n"/>
      <c r="D131" s="26" t="n"/>
      <c r="E131" s="12" t="n"/>
      <c r="F131" s="12" t="n"/>
      <c r="G131" s="12" t="n"/>
      <c r="H131" s="12" t="n"/>
      <c r="I131" s="13" t="n"/>
      <c r="J131" s="13" t="n"/>
      <c r="K131" s="12" t="n"/>
      <c r="L131" s="13" t="n"/>
      <c r="M131" s="15">
        <f>IF($A131="","",IF($D131="",1,$D131)*$E131+$F131-$H131)</f>
        <v/>
      </c>
      <c r="N131" s="15">
        <f>IF($A131="","",IF($B131="Etsy",IF($D131="",1,$D131)*Settings!$C$19,0))</f>
        <v/>
      </c>
      <c r="O131" s="15">
        <f>IF($A131="","",IF($B131="Etsy",Settings!$C$20*($M131+IF(Settings!$C$54="Y",0,$H131)),0))</f>
        <v/>
      </c>
      <c r="P131" s="15">
        <f>IF($A131="","",IF($B131="Etsy",Settings!$C$21*$M131*(1+Settings!$C$55)+Settings!$C$22,IF($B131="Shopify",Settings!$C$14*$M131+Settings!$C$15,0)))</f>
        <v/>
      </c>
      <c r="Q131" s="15">
        <f>IF($A131="","",IF(AND($B131="Etsy",$I131="Y"),MIN(Settings!$C$12*($M131+IF(Settings!$C$54="Y",0,$H131)),Settings!$C$25),0))</f>
        <v/>
      </c>
      <c r="R131" s="15">
        <f>IF($A131="","",IF(AND($B131="Etsy",$J131="Y",$L131="Y",$M131&gt;0),($O131+Settings!$C$21*$M131*(1+Settings!$C$55)+IF(Settings!$C$59="Y",$Q131,0))*$T131/$M131+IF(AND(Settings!$C$58="Y",$T131&gt;=$M131),Settings!$C$22,0),0))</f>
        <v/>
      </c>
      <c r="S131" s="15">
        <f>IF($A131="","",$N131+$O131+$P131+$Q131-$R131)</f>
        <v/>
      </c>
      <c r="T131" s="15">
        <f>IF($A131="","",IF($J131="Y",IF($K131="",$M131,MIN($K131,$M131)),0))</f>
        <v/>
      </c>
      <c r="U131" s="15">
        <f>IF($A131="","",IF($D131="",1,$D131)*IFERROR(INDEX(Products!$F$5:$F$54,MATCH($C131,Products!$A$5:$A$54,0)),0))</f>
        <v/>
      </c>
      <c r="V131" s="27">
        <f>IF($A131="","",$M131-$T131-$S131-$U131-$G131)</f>
        <v/>
      </c>
      <c r="W131" s="31">
        <f>IF($A131="","",IF($M131-$T131&gt;0,$V131/($M131-$T131),""))</f>
        <v/>
      </c>
      <c r="X131" s="35">
        <f>IF($A131="","",DATE(YEAR($A131),MONTH($A131),1))</f>
        <v/>
      </c>
    </row>
    <row r="132">
      <c r="A132" s="18" t="n"/>
      <c r="B132" s="13" t="n"/>
      <c r="C132" s="13" t="n"/>
      <c r="D132" s="26" t="n"/>
      <c r="E132" s="12" t="n"/>
      <c r="F132" s="12" t="n"/>
      <c r="G132" s="12" t="n"/>
      <c r="H132" s="12" t="n"/>
      <c r="I132" s="13" t="n"/>
      <c r="J132" s="13" t="n"/>
      <c r="K132" s="12" t="n"/>
      <c r="L132" s="13" t="n"/>
      <c r="M132" s="15">
        <f>IF($A132="","",IF($D132="",1,$D132)*$E132+$F132-$H132)</f>
        <v/>
      </c>
      <c r="N132" s="15">
        <f>IF($A132="","",IF($B132="Etsy",IF($D132="",1,$D132)*Settings!$C$19,0))</f>
        <v/>
      </c>
      <c r="O132" s="15">
        <f>IF($A132="","",IF($B132="Etsy",Settings!$C$20*($M132+IF(Settings!$C$54="Y",0,$H132)),0))</f>
        <v/>
      </c>
      <c r="P132" s="15">
        <f>IF($A132="","",IF($B132="Etsy",Settings!$C$21*$M132*(1+Settings!$C$55)+Settings!$C$22,IF($B132="Shopify",Settings!$C$14*$M132+Settings!$C$15,0)))</f>
        <v/>
      </c>
      <c r="Q132" s="15">
        <f>IF($A132="","",IF(AND($B132="Etsy",$I132="Y"),MIN(Settings!$C$12*($M132+IF(Settings!$C$54="Y",0,$H132)),Settings!$C$25),0))</f>
        <v/>
      </c>
      <c r="R132" s="15">
        <f>IF($A132="","",IF(AND($B132="Etsy",$J132="Y",$L132="Y",$M132&gt;0),($O132+Settings!$C$21*$M132*(1+Settings!$C$55)+IF(Settings!$C$59="Y",$Q132,0))*$T132/$M132+IF(AND(Settings!$C$58="Y",$T132&gt;=$M132),Settings!$C$22,0),0))</f>
        <v/>
      </c>
      <c r="S132" s="15">
        <f>IF($A132="","",$N132+$O132+$P132+$Q132-$R132)</f>
        <v/>
      </c>
      <c r="T132" s="15">
        <f>IF($A132="","",IF($J132="Y",IF($K132="",$M132,MIN($K132,$M132)),0))</f>
        <v/>
      </c>
      <c r="U132" s="15">
        <f>IF($A132="","",IF($D132="",1,$D132)*IFERROR(INDEX(Products!$F$5:$F$54,MATCH($C132,Products!$A$5:$A$54,0)),0))</f>
        <v/>
      </c>
      <c r="V132" s="27">
        <f>IF($A132="","",$M132-$T132-$S132-$U132-$G132)</f>
        <v/>
      </c>
      <c r="W132" s="31">
        <f>IF($A132="","",IF($M132-$T132&gt;0,$V132/($M132-$T132),""))</f>
        <v/>
      </c>
      <c r="X132" s="35">
        <f>IF($A132="","",DATE(YEAR($A132),MONTH($A132),1))</f>
        <v/>
      </c>
    </row>
    <row r="133">
      <c r="A133" s="18" t="n"/>
      <c r="B133" s="13" t="n"/>
      <c r="C133" s="13" t="n"/>
      <c r="D133" s="26" t="n"/>
      <c r="E133" s="12" t="n"/>
      <c r="F133" s="12" t="n"/>
      <c r="G133" s="12" t="n"/>
      <c r="H133" s="12" t="n"/>
      <c r="I133" s="13" t="n"/>
      <c r="J133" s="13" t="n"/>
      <c r="K133" s="12" t="n"/>
      <c r="L133" s="13" t="n"/>
      <c r="M133" s="15">
        <f>IF($A133="","",IF($D133="",1,$D133)*$E133+$F133-$H133)</f>
        <v/>
      </c>
      <c r="N133" s="15">
        <f>IF($A133="","",IF($B133="Etsy",IF($D133="",1,$D133)*Settings!$C$19,0))</f>
        <v/>
      </c>
      <c r="O133" s="15">
        <f>IF($A133="","",IF($B133="Etsy",Settings!$C$20*($M133+IF(Settings!$C$54="Y",0,$H133)),0))</f>
        <v/>
      </c>
      <c r="P133" s="15">
        <f>IF($A133="","",IF($B133="Etsy",Settings!$C$21*$M133*(1+Settings!$C$55)+Settings!$C$22,IF($B133="Shopify",Settings!$C$14*$M133+Settings!$C$15,0)))</f>
        <v/>
      </c>
      <c r="Q133" s="15">
        <f>IF($A133="","",IF(AND($B133="Etsy",$I133="Y"),MIN(Settings!$C$12*($M133+IF(Settings!$C$54="Y",0,$H133)),Settings!$C$25),0))</f>
        <v/>
      </c>
      <c r="R133" s="15">
        <f>IF($A133="","",IF(AND($B133="Etsy",$J133="Y",$L133="Y",$M133&gt;0),($O133+Settings!$C$21*$M133*(1+Settings!$C$55)+IF(Settings!$C$59="Y",$Q133,0))*$T133/$M133+IF(AND(Settings!$C$58="Y",$T133&gt;=$M133),Settings!$C$22,0),0))</f>
        <v/>
      </c>
      <c r="S133" s="15">
        <f>IF($A133="","",$N133+$O133+$P133+$Q133-$R133)</f>
        <v/>
      </c>
      <c r="T133" s="15">
        <f>IF($A133="","",IF($J133="Y",IF($K133="",$M133,MIN($K133,$M133)),0))</f>
        <v/>
      </c>
      <c r="U133" s="15">
        <f>IF($A133="","",IF($D133="",1,$D133)*IFERROR(INDEX(Products!$F$5:$F$54,MATCH($C133,Products!$A$5:$A$54,0)),0))</f>
        <v/>
      </c>
      <c r="V133" s="27">
        <f>IF($A133="","",$M133-$T133-$S133-$U133-$G133)</f>
        <v/>
      </c>
      <c r="W133" s="31">
        <f>IF($A133="","",IF($M133-$T133&gt;0,$V133/($M133-$T133),""))</f>
        <v/>
      </c>
      <c r="X133" s="35">
        <f>IF($A133="","",DATE(YEAR($A133),MONTH($A133),1))</f>
        <v/>
      </c>
    </row>
    <row r="134">
      <c r="A134" s="18" t="n"/>
      <c r="B134" s="13" t="n"/>
      <c r="C134" s="13" t="n"/>
      <c r="D134" s="26" t="n"/>
      <c r="E134" s="12" t="n"/>
      <c r="F134" s="12" t="n"/>
      <c r="G134" s="12" t="n"/>
      <c r="H134" s="12" t="n"/>
      <c r="I134" s="13" t="n"/>
      <c r="J134" s="13" t="n"/>
      <c r="K134" s="12" t="n"/>
      <c r="L134" s="13" t="n"/>
      <c r="M134" s="15">
        <f>IF($A134="","",IF($D134="",1,$D134)*$E134+$F134-$H134)</f>
        <v/>
      </c>
      <c r="N134" s="15">
        <f>IF($A134="","",IF($B134="Etsy",IF($D134="",1,$D134)*Settings!$C$19,0))</f>
        <v/>
      </c>
      <c r="O134" s="15">
        <f>IF($A134="","",IF($B134="Etsy",Settings!$C$20*($M134+IF(Settings!$C$54="Y",0,$H134)),0))</f>
        <v/>
      </c>
      <c r="P134" s="15">
        <f>IF($A134="","",IF($B134="Etsy",Settings!$C$21*$M134*(1+Settings!$C$55)+Settings!$C$22,IF($B134="Shopify",Settings!$C$14*$M134+Settings!$C$15,0)))</f>
        <v/>
      </c>
      <c r="Q134" s="15">
        <f>IF($A134="","",IF(AND($B134="Etsy",$I134="Y"),MIN(Settings!$C$12*($M134+IF(Settings!$C$54="Y",0,$H134)),Settings!$C$25),0))</f>
        <v/>
      </c>
      <c r="R134" s="15">
        <f>IF($A134="","",IF(AND($B134="Etsy",$J134="Y",$L134="Y",$M134&gt;0),($O134+Settings!$C$21*$M134*(1+Settings!$C$55)+IF(Settings!$C$59="Y",$Q134,0))*$T134/$M134+IF(AND(Settings!$C$58="Y",$T134&gt;=$M134),Settings!$C$22,0),0))</f>
        <v/>
      </c>
      <c r="S134" s="15">
        <f>IF($A134="","",$N134+$O134+$P134+$Q134-$R134)</f>
        <v/>
      </c>
      <c r="T134" s="15">
        <f>IF($A134="","",IF($J134="Y",IF($K134="",$M134,MIN($K134,$M134)),0))</f>
        <v/>
      </c>
      <c r="U134" s="15">
        <f>IF($A134="","",IF($D134="",1,$D134)*IFERROR(INDEX(Products!$F$5:$F$54,MATCH($C134,Products!$A$5:$A$54,0)),0))</f>
        <v/>
      </c>
      <c r="V134" s="27">
        <f>IF($A134="","",$M134-$T134-$S134-$U134-$G134)</f>
        <v/>
      </c>
      <c r="W134" s="31">
        <f>IF($A134="","",IF($M134-$T134&gt;0,$V134/($M134-$T134),""))</f>
        <v/>
      </c>
      <c r="X134" s="35">
        <f>IF($A134="","",DATE(YEAR($A134),MONTH($A134),1))</f>
        <v/>
      </c>
    </row>
    <row r="135">
      <c r="A135" s="18" t="n"/>
      <c r="B135" s="13" t="n"/>
      <c r="C135" s="13" t="n"/>
      <c r="D135" s="26" t="n"/>
      <c r="E135" s="12" t="n"/>
      <c r="F135" s="12" t="n"/>
      <c r="G135" s="12" t="n"/>
      <c r="H135" s="12" t="n"/>
      <c r="I135" s="13" t="n"/>
      <c r="J135" s="13" t="n"/>
      <c r="K135" s="12" t="n"/>
      <c r="L135" s="13" t="n"/>
      <c r="M135" s="15">
        <f>IF($A135="","",IF($D135="",1,$D135)*$E135+$F135-$H135)</f>
        <v/>
      </c>
      <c r="N135" s="15">
        <f>IF($A135="","",IF($B135="Etsy",IF($D135="",1,$D135)*Settings!$C$19,0))</f>
        <v/>
      </c>
      <c r="O135" s="15">
        <f>IF($A135="","",IF($B135="Etsy",Settings!$C$20*($M135+IF(Settings!$C$54="Y",0,$H135)),0))</f>
        <v/>
      </c>
      <c r="P135" s="15">
        <f>IF($A135="","",IF($B135="Etsy",Settings!$C$21*$M135*(1+Settings!$C$55)+Settings!$C$22,IF($B135="Shopify",Settings!$C$14*$M135+Settings!$C$15,0)))</f>
        <v/>
      </c>
      <c r="Q135" s="15">
        <f>IF($A135="","",IF(AND($B135="Etsy",$I135="Y"),MIN(Settings!$C$12*($M135+IF(Settings!$C$54="Y",0,$H135)),Settings!$C$25),0))</f>
        <v/>
      </c>
      <c r="R135" s="15">
        <f>IF($A135="","",IF(AND($B135="Etsy",$J135="Y",$L135="Y",$M135&gt;0),($O135+Settings!$C$21*$M135*(1+Settings!$C$55)+IF(Settings!$C$59="Y",$Q135,0))*$T135/$M135+IF(AND(Settings!$C$58="Y",$T135&gt;=$M135),Settings!$C$22,0),0))</f>
        <v/>
      </c>
      <c r="S135" s="15">
        <f>IF($A135="","",$N135+$O135+$P135+$Q135-$R135)</f>
        <v/>
      </c>
      <c r="T135" s="15">
        <f>IF($A135="","",IF($J135="Y",IF($K135="",$M135,MIN($K135,$M135)),0))</f>
        <v/>
      </c>
      <c r="U135" s="15">
        <f>IF($A135="","",IF($D135="",1,$D135)*IFERROR(INDEX(Products!$F$5:$F$54,MATCH($C135,Products!$A$5:$A$54,0)),0))</f>
        <v/>
      </c>
      <c r="V135" s="27">
        <f>IF($A135="","",$M135-$T135-$S135-$U135-$G135)</f>
        <v/>
      </c>
      <c r="W135" s="31">
        <f>IF($A135="","",IF($M135-$T135&gt;0,$V135/($M135-$T135),""))</f>
        <v/>
      </c>
      <c r="X135" s="35">
        <f>IF($A135="","",DATE(YEAR($A135),MONTH($A135),1))</f>
        <v/>
      </c>
    </row>
    <row r="136">
      <c r="A136" s="18" t="n"/>
      <c r="B136" s="13" t="n"/>
      <c r="C136" s="13" t="n"/>
      <c r="D136" s="26" t="n"/>
      <c r="E136" s="12" t="n"/>
      <c r="F136" s="12" t="n"/>
      <c r="G136" s="12" t="n"/>
      <c r="H136" s="12" t="n"/>
      <c r="I136" s="13" t="n"/>
      <c r="J136" s="13" t="n"/>
      <c r="K136" s="12" t="n"/>
      <c r="L136" s="13" t="n"/>
      <c r="M136" s="15">
        <f>IF($A136="","",IF($D136="",1,$D136)*$E136+$F136-$H136)</f>
        <v/>
      </c>
      <c r="N136" s="15">
        <f>IF($A136="","",IF($B136="Etsy",IF($D136="",1,$D136)*Settings!$C$19,0))</f>
        <v/>
      </c>
      <c r="O136" s="15">
        <f>IF($A136="","",IF($B136="Etsy",Settings!$C$20*($M136+IF(Settings!$C$54="Y",0,$H136)),0))</f>
        <v/>
      </c>
      <c r="P136" s="15">
        <f>IF($A136="","",IF($B136="Etsy",Settings!$C$21*$M136*(1+Settings!$C$55)+Settings!$C$22,IF($B136="Shopify",Settings!$C$14*$M136+Settings!$C$15,0)))</f>
        <v/>
      </c>
      <c r="Q136" s="15">
        <f>IF($A136="","",IF(AND($B136="Etsy",$I136="Y"),MIN(Settings!$C$12*($M136+IF(Settings!$C$54="Y",0,$H136)),Settings!$C$25),0))</f>
        <v/>
      </c>
      <c r="R136" s="15">
        <f>IF($A136="","",IF(AND($B136="Etsy",$J136="Y",$L136="Y",$M136&gt;0),($O136+Settings!$C$21*$M136*(1+Settings!$C$55)+IF(Settings!$C$59="Y",$Q136,0))*$T136/$M136+IF(AND(Settings!$C$58="Y",$T136&gt;=$M136),Settings!$C$22,0),0))</f>
        <v/>
      </c>
      <c r="S136" s="15">
        <f>IF($A136="","",$N136+$O136+$P136+$Q136-$R136)</f>
        <v/>
      </c>
      <c r="T136" s="15">
        <f>IF($A136="","",IF($J136="Y",IF($K136="",$M136,MIN($K136,$M136)),0))</f>
        <v/>
      </c>
      <c r="U136" s="15">
        <f>IF($A136="","",IF($D136="",1,$D136)*IFERROR(INDEX(Products!$F$5:$F$54,MATCH($C136,Products!$A$5:$A$54,0)),0))</f>
        <v/>
      </c>
      <c r="V136" s="27">
        <f>IF($A136="","",$M136-$T136-$S136-$U136-$G136)</f>
        <v/>
      </c>
      <c r="W136" s="31">
        <f>IF($A136="","",IF($M136-$T136&gt;0,$V136/($M136-$T136),""))</f>
        <v/>
      </c>
      <c r="X136" s="35">
        <f>IF($A136="","",DATE(YEAR($A136),MONTH($A136),1))</f>
        <v/>
      </c>
    </row>
    <row r="137">
      <c r="A137" s="18" t="n"/>
      <c r="B137" s="13" t="n"/>
      <c r="C137" s="13" t="n"/>
      <c r="D137" s="26" t="n"/>
      <c r="E137" s="12" t="n"/>
      <c r="F137" s="12" t="n"/>
      <c r="G137" s="12" t="n"/>
      <c r="H137" s="12" t="n"/>
      <c r="I137" s="13" t="n"/>
      <c r="J137" s="13" t="n"/>
      <c r="K137" s="12" t="n"/>
      <c r="L137" s="13" t="n"/>
      <c r="M137" s="15">
        <f>IF($A137="","",IF($D137="",1,$D137)*$E137+$F137-$H137)</f>
        <v/>
      </c>
      <c r="N137" s="15">
        <f>IF($A137="","",IF($B137="Etsy",IF($D137="",1,$D137)*Settings!$C$19,0))</f>
        <v/>
      </c>
      <c r="O137" s="15">
        <f>IF($A137="","",IF($B137="Etsy",Settings!$C$20*($M137+IF(Settings!$C$54="Y",0,$H137)),0))</f>
        <v/>
      </c>
      <c r="P137" s="15">
        <f>IF($A137="","",IF($B137="Etsy",Settings!$C$21*$M137*(1+Settings!$C$55)+Settings!$C$22,IF($B137="Shopify",Settings!$C$14*$M137+Settings!$C$15,0)))</f>
        <v/>
      </c>
      <c r="Q137" s="15">
        <f>IF($A137="","",IF(AND($B137="Etsy",$I137="Y"),MIN(Settings!$C$12*($M137+IF(Settings!$C$54="Y",0,$H137)),Settings!$C$25),0))</f>
        <v/>
      </c>
      <c r="R137" s="15">
        <f>IF($A137="","",IF(AND($B137="Etsy",$J137="Y",$L137="Y",$M137&gt;0),($O137+Settings!$C$21*$M137*(1+Settings!$C$55)+IF(Settings!$C$59="Y",$Q137,0))*$T137/$M137+IF(AND(Settings!$C$58="Y",$T137&gt;=$M137),Settings!$C$22,0),0))</f>
        <v/>
      </c>
      <c r="S137" s="15">
        <f>IF($A137="","",$N137+$O137+$P137+$Q137-$R137)</f>
        <v/>
      </c>
      <c r="T137" s="15">
        <f>IF($A137="","",IF($J137="Y",IF($K137="",$M137,MIN($K137,$M137)),0))</f>
        <v/>
      </c>
      <c r="U137" s="15">
        <f>IF($A137="","",IF($D137="",1,$D137)*IFERROR(INDEX(Products!$F$5:$F$54,MATCH($C137,Products!$A$5:$A$54,0)),0))</f>
        <v/>
      </c>
      <c r="V137" s="27">
        <f>IF($A137="","",$M137-$T137-$S137-$U137-$G137)</f>
        <v/>
      </c>
      <c r="W137" s="31">
        <f>IF($A137="","",IF($M137-$T137&gt;0,$V137/($M137-$T137),""))</f>
        <v/>
      </c>
      <c r="X137" s="35">
        <f>IF($A137="","",DATE(YEAR($A137),MONTH($A137),1))</f>
        <v/>
      </c>
    </row>
    <row r="138">
      <c r="A138" s="18" t="n"/>
      <c r="B138" s="13" t="n"/>
      <c r="C138" s="13" t="n"/>
      <c r="D138" s="26" t="n"/>
      <c r="E138" s="12" t="n"/>
      <c r="F138" s="12" t="n"/>
      <c r="G138" s="12" t="n"/>
      <c r="H138" s="12" t="n"/>
      <c r="I138" s="13" t="n"/>
      <c r="J138" s="13" t="n"/>
      <c r="K138" s="12" t="n"/>
      <c r="L138" s="13" t="n"/>
      <c r="M138" s="15">
        <f>IF($A138="","",IF($D138="",1,$D138)*$E138+$F138-$H138)</f>
        <v/>
      </c>
      <c r="N138" s="15">
        <f>IF($A138="","",IF($B138="Etsy",IF($D138="",1,$D138)*Settings!$C$19,0))</f>
        <v/>
      </c>
      <c r="O138" s="15">
        <f>IF($A138="","",IF($B138="Etsy",Settings!$C$20*($M138+IF(Settings!$C$54="Y",0,$H138)),0))</f>
        <v/>
      </c>
      <c r="P138" s="15">
        <f>IF($A138="","",IF($B138="Etsy",Settings!$C$21*$M138*(1+Settings!$C$55)+Settings!$C$22,IF($B138="Shopify",Settings!$C$14*$M138+Settings!$C$15,0)))</f>
        <v/>
      </c>
      <c r="Q138" s="15">
        <f>IF($A138="","",IF(AND($B138="Etsy",$I138="Y"),MIN(Settings!$C$12*($M138+IF(Settings!$C$54="Y",0,$H138)),Settings!$C$25),0))</f>
        <v/>
      </c>
      <c r="R138" s="15">
        <f>IF($A138="","",IF(AND($B138="Etsy",$J138="Y",$L138="Y",$M138&gt;0),($O138+Settings!$C$21*$M138*(1+Settings!$C$55)+IF(Settings!$C$59="Y",$Q138,0))*$T138/$M138+IF(AND(Settings!$C$58="Y",$T138&gt;=$M138),Settings!$C$22,0),0))</f>
        <v/>
      </c>
      <c r="S138" s="15">
        <f>IF($A138="","",$N138+$O138+$P138+$Q138-$R138)</f>
        <v/>
      </c>
      <c r="T138" s="15">
        <f>IF($A138="","",IF($J138="Y",IF($K138="",$M138,MIN($K138,$M138)),0))</f>
        <v/>
      </c>
      <c r="U138" s="15">
        <f>IF($A138="","",IF($D138="",1,$D138)*IFERROR(INDEX(Products!$F$5:$F$54,MATCH($C138,Products!$A$5:$A$54,0)),0))</f>
        <v/>
      </c>
      <c r="V138" s="27">
        <f>IF($A138="","",$M138-$T138-$S138-$U138-$G138)</f>
        <v/>
      </c>
      <c r="W138" s="31">
        <f>IF($A138="","",IF($M138-$T138&gt;0,$V138/($M138-$T138),""))</f>
        <v/>
      </c>
      <c r="X138" s="35">
        <f>IF($A138="","",DATE(YEAR($A138),MONTH($A138),1))</f>
        <v/>
      </c>
    </row>
    <row r="139">
      <c r="A139" s="18" t="n"/>
      <c r="B139" s="13" t="n"/>
      <c r="C139" s="13" t="n"/>
      <c r="D139" s="26" t="n"/>
      <c r="E139" s="12" t="n"/>
      <c r="F139" s="12" t="n"/>
      <c r="G139" s="12" t="n"/>
      <c r="H139" s="12" t="n"/>
      <c r="I139" s="13" t="n"/>
      <c r="J139" s="13" t="n"/>
      <c r="K139" s="12" t="n"/>
      <c r="L139" s="13" t="n"/>
      <c r="M139" s="15">
        <f>IF($A139="","",IF($D139="",1,$D139)*$E139+$F139-$H139)</f>
        <v/>
      </c>
      <c r="N139" s="15">
        <f>IF($A139="","",IF($B139="Etsy",IF($D139="",1,$D139)*Settings!$C$19,0))</f>
        <v/>
      </c>
      <c r="O139" s="15">
        <f>IF($A139="","",IF($B139="Etsy",Settings!$C$20*($M139+IF(Settings!$C$54="Y",0,$H139)),0))</f>
        <v/>
      </c>
      <c r="P139" s="15">
        <f>IF($A139="","",IF($B139="Etsy",Settings!$C$21*$M139*(1+Settings!$C$55)+Settings!$C$22,IF($B139="Shopify",Settings!$C$14*$M139+Settings!$C$15,0)))</f>
        <v/>
      </c>
      <c r="Q139" s="15">
        <f>IF($A139="","",IF(AND($B139="Etsy",$I139="Y"),MIN(Settings!$C$12*($M139+IF(Settings!$C$54="Y",0,$H139)),Settings!$C$25),0))</f>
        <v/>
      </c>
      <c r="R139" s="15">
        <f>IF($A139="","",IF(AND($B139="Etsy",$J139="Y",$L139="Y",$M139&gt;0),($O139+Settings!$C$21*$M139*(1+Settings!$C$55)+IF(Settings!$C$59="Y",$Q139,0))*$T139/$M139+IF(AND(Settings!$C$58="Y",$T139&gt;=$M139),Settings!$C$22,0),0))</f>
        <v/>
      </c>
      <c r="S139" s="15">
        <f>IF($A139="","",$N139+$O139+$P139+$Q139-$R139)</f>
        <v/>
      </c>
      <c r="T139" s="15">
        <f>IF($A139="","",IF($J139="Y",IF($K139="",$M139,MIN($K139,$M139)),0))</f>
        <v/>
      </c>
      <c r="U139" s="15">
        <f>IF($A139="","",IF($D139="",1,$D139)*IFERROR(INDEX(Products!$F$5:$F$54,MATCH($C139,Products!$A$5:$A$54,0)),0))</f>
        <v/>
      </c>
      <c r="V139" s="27">
        <f>IF($A139="","",$M139-$T139-$S139-$U139-$G139)</f>
        <v/>
      </c>
      <c r="W139" s="31">
        <f>IF($A139="","",IF($M139-$T139&gt;0,$V139/($M139-$T139),""))</f>
        <v/>
      </c>
      <c r="X139" s="35">
        <f>IF($A139="","",DATE(YEAR($A139),MONTH($A139),1))</f>
        <v/>
      </c>
    </row>
    <row r="140">
      <c r="A140" s="18" t="n"/>
      <c r="B140" s="13" t="n"/>
      <c r="C140" s="13" t="n"/>
      <c r="D140" s="26" t="n"/>
      <c r="E140" s="12" t="n"/>
      <c r="F140" s="12" t="n"/>
      <c r="G140" s="12" t="n"/>
      <c r="H140" s="12" t="n"/>
      <c r="I140" s="13" t="n"/>
      <c r="J140" s="13" t="n"/>
      <c r="K140" s="12" t="n"/>
      <c r="L140" s="13" t="n"/>
      <c r="M140" s="15">
        <f>IF($A140="","",IF($D140="",1,$D140)*$E140+$F140-$H140)</f>
        <v/>
      </c>
      <c r="N140" s="15">
        <f>IF($A140="","",IF($B140="Etsy",IF($D140="",1,$D140)*Settings!$C$19,0))</f>
        <v/>
      </c>
      <c r="O140" s="15">
        <f>IF($A140="","",IF($B140="Etsy",Settings!$C$20*($M140+IF(Settings!$C$54="Y",0,$H140)),0))</f>
        <v/>
      </c>
      <c r="P140" s="15">
        <f>IF($A140="","",IF($B140="Etsy",Settings!$C$21*$M140*(1+Settings!$C$55)+Settings!$C$22,IF($B140="Shopify",Settings!$C$14*$M140+Settings!$C$15,0)))</f>
        <v/>
      </c>
      <c r="Q140" s="15">
        <f>IF($A140="","",IF(AND($B140="Etsy",$I140="Y"),MIN(Settings!$C$12*($M140+IF(Settings!$C$54="Y",0,$H140)),Settings!$C$25),0))</f>
        <v/>
      </c>
      <c r="R140" s="15">
        <f>IF($A140="","",IF(AND($B140="Etsy",$J140="Y",$L140="Y",$M140&gt;0),($O140+Settings!$C$21*$M140*(1+Settings!$C$55)+IF(Settings!$C$59="Y",$Q140,0))*$T140/$M140+IF(AND(Settings!$C$58="Y",$T140&gt;=$M140),Settings!$C$22,0),0))</f>
        <v/>
      </c>
      <c r="S140" s="15">
        <f>IF($A140="","",$N140+$O140+$P140+$Q140-$R140)</f>
        <v/>
      </c>
      <c r="T140" s="15">
        <f>IF($A140="","",IF($J140="Y",IF($K140="",$M140,MIN($K140,$M140)),0))</f>
        <v/>
      </c>
      <c r="U140" s="15">
        <f>IF($A140="","",IF($D140="",1,$D140)*IFERROR(INDEX(Products!$F$5:$F$54,MATCH($C140,Products!$A$5:$A$54,0)),0))</f>
        <v/>
      </c>
      <c r="V140" s="27">
        <f>IF($A140="","",$M140-$T140-$S140-$U140-$G140)</f>
        <v/>
      </c>
      <c r="W140" s="31">
        <f>IF($A140="","",IF($M140-$T140&gt;0,$V140/($M140-$T140),""))</f>
        <v/>
      </c>
      <c r="X140" s="35">
        <f>IF($A140="","",DATE(YEAR($A140),MONTH($A140),1))</f>
        <v/>
      </c>
    </row>
    <row r="141">
      <c r="A141" s="18" t="n"/>
      <c r="B141" s="13" t="n"/>
      <c r="C141" s="13" t="n"/>
      <c r="D141" s="26" t="n"/>
      <c r="E141" s="12" t="n"/>
      <c r="F141" s="12" t="n"/>
      <c r="G141" s="12" t="n"/>
      <c r="H141" s="12" t="n"/>
      <c r="I141" s="13" t="n"/>
      <c r="J141" s="13" t="n"/>
      <c r="K141" s="12" t="n"/>
      <c r="L141" s="13" t="n"/>
      <c r="M141" s="15">
        <f>IF($A141="","",IF($D141="",1,$D141)*$E141+$F141-$H141)</f>
        <v/>
      </c>
      <c r="N141" s="15">
        <f>IF($A141="","",IF($B141="Etsy",IF($D141="",1,$D141)*Settings!$C$19,0))</f>
        <v/>
      </c>
      <c r="O141" s="15">
        <f>IF($A141="","",IF($B141="Etsy",Settings!$C$20*($M141+IF(Settings!$C$54="Y",0,$H141)),0))</f>
        <v/>
      </c>
      <c r="P141" s="15">
        <f>IF($A141="","",IF($B141="Etsy",Settings!$C$21*$M141*(1+Settings!$C$55)+Settings!$C$22,IF($B141="Shopify",Settings!$C$14*$M141+Settings!$C$15,0)))</f>
        <v/>
      </c>
      <c r="Q141" s="15">
        <f>IF($A141="","",IF(AND($B141="Etsy",$I141="Y"),MIN(Settings!$C$12*($M141+IF(Settings!$C$54="Y",0,$H141)),Settings!$C$25),0))</f>
        <v/>
      </c>
      <c r="R141" s="15">
        <f>IF($A141="","",IF(AND($B141="Etsy",$J141="Y",$L141="Y",$M141&gt;0),($O141+Settings!$C$21*$M141*(1+Settings!$C$55)+IF(Settings!$C$59="Y",$Q141,0))*$T141/$M141+IF(AND(Settings!$C$58="Y",$T141&gt;=$M141),Settings!$C$22,0),0))</f>
        <v/>
      </c>
      <c r="S141" s="15">
        <f>IF($A141="","",$N141+$O141+$P141+$Q141-$R141)</f>
        <v/>
      </c>
      <c r="T141" s="15">
        <f>IF($A141="","",IF($J141="Y",IF($K141="",$M141,MIN($K141,$M141)),0))</f>
        <v/>
      </c>
      <c r="U141" s="15">
        <f>IF($A141="","",IF($D141="",1,$D141)*IFERROR(INDEX(Products!$F$5:$F$54,MATCH($C141,Products!$A$5:$A$54,0)),0))</f>
        <v/>
      </c>
      <c r="V141" s="27">
        <f>IF($A141="","",$M141-$T141-$S141-$U141-$G141)</f>
        <v/>
      </c>
      <c r="W141" s="31">
        <f>IF($A141="","",IF($M141-$T141&gt;0,$V141/($M141-$T141),""))</f>
        <v/>
      </c>
      <c r="X141" s="35">
        <f>IF($A141="","",DATE(YEAR($A141),MONTH($A141),1))</f>
        <v/>
      </c>
    </row>
    <row r="142">
      <c r="A142" s="18" t="n"/>
      <c r="B142" s="13" t="n"/>
      <c r="C142" s="13" t="n"/>
      <c r="D142" s="26" t="n"/>
      <c r="E142" s="12" t="n"/>
      <c r="F142" s="12" t="n"/>
      <c r="G142" s="12" t="n"/>
      <c r="H142" s="12" t="n"/>
      <c r="I142" s="13" t="n"/>
      <c r="J142" s="13" t="n"/>
      <c r="K142" s="12" t="n"/>
      <c r="L142" s="13" t="n"/>
      <c r="M142" s="15">
        <f>IF($A142="","",IF($D142="",1,$D142)*$E142+$F142-$H142)</f>
        <v/>
      </c>
      <c r="N142" s="15">
        <f>IF($A142="","",IF($B142="Etsy",IF($D142="",1,$D142)*Settings!$C$19,0))</f>
        <v/>
      </c>
      <c r="O142" s="15">
        <f>IF($A142="","",IF($B142="Etsy",Settings!$C$20*($M142+IF(Settings!$C$54="Y",0,$H142)),0))</f>
        <v/>
      </c>
      <c r="P142" s="15">
        <f>IF($A142="","",IF($B142="Etsy",Settings!$C$21*$M142*(1+Settings!$C$55)+Settings!$C$22,IF($B142="Shopify",Settings!$C$14*$M142+Settings!$C$15,0)))</f>
        <v/>
      </c>
      <c r="Q142" s="15">
        <f>IF($A142="","",IF(AND($B142="Etsy",$I142="Y"),MIN(Settings!$C$12*($M142+IF(Settings!$C$54="Y",0,$H142)),Settings!$C$25),0))</f>
        <v/>
      </c>
      <c r="R142" s="15">
        <f>IF($A142="","",IF(AND($B142="Etsy",$J142="Y",$L142="Y",$M142&gt;0),($O142+Settings!$C$21*$M142*(1+Settings!$C$55)+IF(Settings!$C$59="Y",$Q142,0))*$T142/$M142+IF(AND(Settings!$C$58="Y",$T142&gt;=$M142),Settings!$C$22,0),0))</f>
        <v/>
      </c>
      <c r="S142" s="15">
        <f>IF($A142="","",$N142+$O142+$P142+$Q142-$R142)</f>
        <v/>
      </c>
      <c r="T142" s="15">
        <f>IF($A142="","",IF($J142="Y",IF($K142="",$M142,MIN($K142,$M142)),0))</f>
        <v/>
      </c>
      <c r="U142" s="15">
        <f>IF($A142="","",IF($D142="",1,$D142)*IFERROR(INDEX(Products!$F$5:$F$54,MATCH($C142,Products!$A$5:$A$54,0)),0))</f>
        <v/>
      </c>
      <c r="V142" s="27">
        <f>IF($A142="","",$M142-$T142-$S142-$U142-$G142)</f>
        <v/>
      </c>
      <c r="W142" s="31">
        <f>IF($A142="","",IF($M142-$T142&gt;0,$V142/($M142-$T142),""))</f>
        <v/>
      </c>
      <c r="X142" s="35">
        <f>IF($A142="","",DATE(YEAR($A142),MONTH($A142),1))</f>
        <v/>
      </c>
    </row>
    <row r="143">
      <c r="A143" s="18" t="n"/>
      <c r="B143" s="13" t="n"/>
      <c r="C143" s="13" t="n"/>
      <c r="D143" s="26" t="n"/>
      <c r="E143" s="12" t="n"/>
      <c r="F143" s="12" t="n"/>
      <c r="G143" s="12" t="n"/>
      <c r="H143" s="12" t="n"/>
      <c r="I143" s="13" t="n"/>
      <c r="J143" s="13" t="n"/>
      <c r="K143" s="12" t="n"/>
      <c r="L143" s="13" t="n"/>
      <c r="M143" s="15">
        <f>IF($A143="","",IF($D143="",1,$D143)*$E143+$F143-$H143)</f>
        <v/>
      </c>
      <c r="N143" s="15">
        <f>IF($A143="","",IF($B143="Etsy",IF($D143="",1,$D143)*Settings!$C$19,0))</f>
        <v/>
      </c>
      <c r="O143" s="15">
        <f>IF($A143="","",IF($B143="Etsy",Settings!$C$20*($M143+IF(Settings!$C$54="Y",0,$H143)),0))</f>
        <v/>
      </c>
      <c r="P143" s="15">
        <f>IF($A143="","",IF($B143="Etsy",Settings!$C$21*$M143*(1+Settings!$C$55)+Settings!$C$22,IF($B143="Shopify",Settings!$C$14*$M143+Settings!$C$15,0)))</f>
        <v/>
      </c>
      <c r="Q143" s="15">
        <f>IF($A143="","",IF(AND($B143="Etsy",$I143="Y"),MIN(Settings!$C$12*($M143+IF(Settings!$C$54="Y",0,$H143)),Settings!$C$25),0))</f>
        <v/>
      </c>
      <c r="R143" s="15">
        <f>IF($A143="","",IF(AND($B143="Etsy",$J143="Y",$L143="Y",$M143&gt;0),($O143+Settings!$C$21*$M143*(1+Settings!$C$55)+IF(Settings!$C$59="Y",$Q143,0))*$T143/$M143+IF(AND(Settings!$C$58="Y",$T143&gt;=$M143),Settings!$C$22,0),0))</f>
        <v/>
      </c>
      <c r="S143" s="15">
        <f>IF($A143="","",$N143+$O143+$P143+$Q143-$R143)</f>
        <v/>
      </c>
      <c r="T143" s="15">
        <f>IF($A143="","",IF($J143="Y",IF($K143="",$M143,MIN($K143,$M143)),0))</f>
        <v/>
      </c>
      <c r="U143" s="15">
        <f>IF($A143="","",IF($D143="",1,$D143)*IFERROR(INDEX(Products!$F$5:$F$54,MATCH($C143,Products!$A$5:$A$54,0)),0))</f>
        <v/>
      </c>
      <c r="V143" s="27">
        <f>IF($A143="","",$M143-$T143-$S143-$U143-$G143)</f>
        <v/>
      </c>
      <c r="W143" s="31">
        <f>IF($A143="","",IF($M143-$T143&gt;0,$V143/($M143-$T143),""))</f>
        <v/>
      </c>
      <c r="X143" s="35">
        <f>IF($A143="","",DATE(YEAR($A143),MONTH($A143),1))</f>
        <v/>
      </c>
    </row>
    <row r="144">
      <c r="A144" s="18" t="n"/>
      <c r="B144" s="13" t="n"/>
      <c r="C144" s="13" t="n"/>
      <c r="D144" s="26" t="n"/>
      <c r="E144" s="12" t="n"/>
      <c r="F144" s="12" t="n"/>
      <c r="G144" s="12" t="n"/>
      <c r="H144" s="12" t="n"/>
      <c r="I144" s="13" t="n"/>
      <c r="J144" s="13" t="n"/>
      <c r="K144" s="12" t="n"/>
      <c r="L144" s="13" t="n"/>
      <c r="M144" s="15">
        <f>IF($A144="","",IF($D144="",1,$D144)*$E144+$F144-$H144)</f>
        <v/>
      </c>
      <c r="N144" s="15">
        <f>IF($A144="","",IF($B144="Etsy",IF($D144="",1,$D144)*Settings!$C$19,0))</f>
        <v/>
      </c>
      <c r="O144" s="15">
        <f>IF($A144="","",IF($B144="Etsy",Settings!$C$20*($M144+IF(Settings!$C$54="Y",0,$H144)),0))</f>
        <v/>
      </c>
      <c r="P144" s="15">
        <f>IF($A144="","",IF($B144="Etsy",Settings!$C$21*$M144*(1+Settings!$C$55)+Settings!$C$22,IF($B144="Shopify",Settings!$C$14*$M144+Settings!$C$15,0)))</f>
        <v/>
      </c>
      <c r="Q144" s="15">
        <f>IF($A144="","",IF(AND($B144="Etsy",$I144="Y"),MIN(Settings!$C$12*($M144+IF(Settings!$C$54="Y",0,$H144)),Settings!$C$25),0))</f>
        <v/>
      </c>
      <c r="R144" s="15">
        <f>IF($A144="","",IF(AND($B144="Etsy",$J144="Y",$L144="Y",$M144&gt;0),($O144+Settings!$C$21*$M144*(1+Settings!$C$55)+IF(Settings!$C$59="Y",$Q144,0))*$T144/$M144+IF(AND(Settings!$C$58="Y",$T144&gt;=$M144),Settings!$C$22,0),0))</f>
        <v/>
      </c>
      <c r="S144" s="15">
        <f>IF($A144="","",$N144+$O144+$P144+$Q144-$R144)</f>
        <v/>
      </c>
      <c r="T144" s="15">
        <f>IF($A144="","",IF($J144="Y",IF($K144="",$M144,MIN($K144,$M144)),0))</f>
        <v/>
      </c>
      <c r="U144" s="15">
        <f>IF($A144="","",IF($D144="",1,$D144)*IFERROR(INDEX(Products!$F$5:$F$54,MATCH($C144,Products!$A$5:$A$54,0)),0))</f>
        <v/>
      </c>
      <c r="V144" s="27">
        <f>IF($A144="","",$M144-$T144-$S144-$U144-$G144)</f>
        <v/>
      </c>
      <c r="W144" s="31">
        <f>IF($A144="","",IF($M144-$T144&gt;0,$V144/($M144-$T144),""))</f>
        <v/>
      </c>
      <c r="X144" s="35">
        <f>IF($A144="","",DATE(YEAR($A144),MONTH($A144),1))</f>
        <v/>
      </c>
    </row>
    <row r="145">
      <c r="A145" s="18" t="n"/>
      <c r="B145" s="13" t="n"/>
      <c r="C145" s="13" t="n"/>
      <c r="D145" s="26" t="n"/>
      <c r="E145" s="12" t="n"/>
      <c r="F145" s="12" t="n"/>
      <c r="G145" s="12" t="n"/>
      <c r="H145" s="12" t="n"/>
      <c r="I145" s="13" t="n"/>
      <c r="J145" s="13" t="n"/>
      <c r="K145" s="12" t="n"/>
      <c r="L145" s="13" t="n"/>
      <c r="M145" s="15">
        <f>IF($A145="","",IF($D145="",1,$D145)*$E145+$F145-$H145)</f>
        <v/>
      </c>
      <c r="N145" s="15">
        <f>IF($A145="","",IF($B145="Etsy",IF($D145="",1,$D145)*Settings!$C$19,0))</f>
        <v/>
      </c>
      <c r="O145" s="15">
        <f>IF($A145="","",IF($B145="Etsy",Settings!$C$20*($M145+IF(Settings!$C$54="Y",0,$H145)),0))</f>
        <v/>
      </c>
      <c r="P145" s="15">
        <f>IF($A145="","",IF($B145="Etsy",Settings!$C$21*$M145*(1+Settings!$C$55)+Settings!$C$22,IF($B145="Shopify",Settings!$C$14*$M145+Settings!$C$15,0)))</f>
        <v/>
      </c>
      <c r="Q145" s="15">
        <f>IF($A145="","",IF(AND($B145="Etsy",$I145="Y"),MIN(Settings!$C$12*($M145+IF(Settings!$C$54="Y",0,$H145)),Settings!$C$25),0))</f>
        <v/>
      </c>
      <c r="R145" s="15">
        <f>IF($A145="","",IF(AND($B145="Etsy",$J145="Y",$L145="Y",$M145&gt;0),($O145+Settings!$C$21*$M145*(1+Settings!$C$55)+IF(Settings!$C$59="Y",$Q145,0))*$T145/$M145+IF(AND(Settings!$C$58="Y",$T145&gt;=$M145),Settings!$C$22,0),0))</f>
        <v/>
      </c>
      <c r="S145" s="15">
        <f>IF($A145="","",$N145+$O145+$P145+$Q145-$R145)</f>
        <v/>
      </c>
      <c r="T145" s="15">
        <f>IF($A145="","",IF($J145="Y",IF($K145="",$M145,MIN($K145,$M145)),0))</f>
        <v/>
      </c>
      <c r="U145" s="15">
        <f>IF($A145="","",IF($D145="",1,$D145)*IFERROR(INDEX(Products!$F$5:$F$54,MATCH($C145,Products!$A$5:$A$54,0)),0))</f>
        <v/>
      </c>
      <c r="V145" s="27">
        <f>IF($A145="","",$M145-$T145-$S145-$U145-$G145)</f>
        <v/>
      </c>
      <c r="W145" s="31">
        <f>IF($A145="","",IF($M145-$T145&gt;0,$V145/($M145-$T145),""))</f>
        <v/>
      </c>
      <c r="X145" s="35">
        <f>IF($A145="","",DATE(YEAR($A145),MONTH($A145),1))</f>
        <v/>
      </c>
    </row>
    <row r="146">
      <c r="A146" s="18" t="n"/>
      <c r="B146" s="13" t="n"/>
      <c r="C146" s="13" t="n"/>
      <c r="D146" s="26" t="n"/>
      <c r="E146" s="12" t="n"/>
      <c r="F146" s="12" t="n"/>
      <c r="G146" s="12" t="n"/>
      <c r="H146" s="12" t="n"/>
      <c r="I146" s="13" t="n"/>
      <c r="J146" s="13" t="n"/>
      <c r="K146" s="12" t="n"/>
      <c r="L146" s="13" t="n"/>
      <c r="M146" s="15">
        <f>IF($A146="","",IF($D146="",1,$D146)*$E146+$F146-$H146)</f>
        <v/>
      </c>
      <c r="N146" s="15">
        <f>IF($A146="","",IF($B146="Etsy",IF($D146="",1,$D146)*Settings!$C$19,0))</f>
        <v/>
      </c>
      <c r="O146" s="15">
        <f>IF($A146="","",IF($B146="Etsy",Settings!$C$20*($M146+IF(Settings!$C$54="Y",0,$H146)),0))</f>
        <v/>
      </c>
      <c r="P146" s="15">
        <f>IF($A146="","",IF($B146="Etsy",Settings!$C$21*$M146*(1+Settings!$C$55)+Settings!$C$22,IF($B146="Shopify",Settings!$C$14*$M146+Settings!$C$15,0)))</f>
        <v/>
      </c>
      <c r="Q146" s="15">
        <f>IF($A146="","",IF(AND($B146="Etsy",$I146="Y"),MIN(Settings!$C$12*($M146+IF(Settings!$C$54="Y",0,$H146)),Settings!$C$25),0))</f>
        <v/>
      </c>
      <c r="R146" s="15">
        <f>IF($A146="","",IF(AND($B146="Etsy",$J146="Y",$L146="Y",$M146&gt;0),($O146+Settings!$C$21*$M146*(1+Settings!$C$55)+IF(Settings!$C$59="Y",$Q146,0))*$T146/$M146+IF(AND(Settings!$C$58="Y",$T146&gt;=$M146),Settings!$C$22,0),0))</f>
        <v/>
      </c>
      <c r="S146" s="15">
        <f>IF($A146="","",$N146+$O146+$P146+$Q146-$R146)</f>
        <v/>
      </c>
      <c r="T146" s="15">
        <f>IF($A146="","",IF($J146="Y",IF($K146="",$M146,MIN($K146,$M146)),0))</f>
        <v/>
      </c>
      <c r="U146" s="15">
        <f>IF($A146="","",IF($D146="",1,$D146)*IFERROR(INDEX(Products!$F$5:$F$54,MATCH($C146,Products!$A$5:$A$54,0)),0))</f>
        <v/>
      </c>
      <c r="V146" s="27">
        <f>IF($A146="","",$M146-$T146-$S146-$U146-$G146)</f>
        <v/>
      </c>
      <c r="W146" s="31">
        <f>IF($A146="","",IF($M146-$T146&gt;0,$V146/($M146-$T146),""))</f>
        <v/>
      </c>
      <c r="X146" s="35">
        <f>IF($A146="","",DATE(YEAR($A146),MONTH($A146),1))</f>
        <v/>
      </c>
    </row>
    <row r="147">
      <c r="A147" s="18" t="n"/>
      <c r="B147" s="13" t="n"/>
      <c r="C147" s="13" t="n"/>
      <c r="D147" s="26" t="n"/>
      <c r="E147" s="12" t="n"/>
      <c r="F147" s="12" t="n"/>
      <c r="G147" s="12" t="n"/>
      <c r="H147" s="12" t="n"/>
      <c r="I147" s="13" t="n"/>
      <c r="J147" s="13" t="n"/>
      <c r="K147" s="12" t="n"/>
      <c r="L147" s="13" t="n"/>
      <c r="M147" s="15">
        <f>IF($A147="","",IF($D147="",1,$D147)*$E147+$F147-$H147)</f>
        <v/>
      </c>
      <c r="N147" s="15">
        <f>IF($A147="","",IF($B147="Etsy",IF($D147="",1,$D147)*Settings!$C$19,0))</f>
        <v/>
      </c>
      <c r="O147" s="15">
        <f>IF($A147="","",IF($B147="Etsy",Settings!$C$20*($M147+IF(Settings!$C$54="Y",0,$H147)),0))</f>
        <v/>
      </c>
      <c r="P147" s="15">
        <f>IF($A147="","",IF($B147="Etsy",Settings!$C$21*$M147*(1+Settings!$C$55)+Settings!$C$22,IF($B147="Shopify",Settings!$C$14*$M147+Settings!$C$15,0)))</f>
        <v/>
      </c>
      <c r="Q147" s="15">
        <f>IF($A147="","",IF(AND($B147="Etsy",$I147="Y"),MIN(Settings!$C$12*($M147+IF(Settings!$C$54="Y",0,$H147)),Settings!$C$25),0))</f>
        <v/>
      </c>
      <c r="R147" s="15">
        <f>IF($A147="","",IF(AND($B147="Etsy",$J147="Y",$L147="Y",$M147&gt;0),($O147+Settings!$C$21*$M147*(1+Settings!$C$55)+IF(Settings!$C$59="Y",$Q147,0))*$T147/$M147+IF(AND(Settings!$C$58="Y",$T147&gt;=$M147),Settings!$C$22,0),0))</f>
        <v/>
      </c>
      <c r="S147" s="15">
        <f>IF($A147="","",$N147+$O147+$P147+$Q147-$R147)</f>
        <v/>
      </c>
      <c r="T147" s="15">
        <f>IF($A147="","",IF($J147="Y",IF($K147="",$M147,MIN($K147,$M147)),0))</f>
        <v/>
      </c>
      <c r="U147" s="15">
        <f>IF($A147="","",IF($D147="",1,$D147)*IFERROR(INDEX(Products!$F$5:$F$54,MATCH($C147,Products!$A$5:$A$54,0)),0))</f>
        <v/>
      </c>
      <c r="V147" s="27">
        <f>IF($A147="","",$M147-$T147-$S147-$U147-$G147)</f>
        <v/>
      </c>
      <c r="W147" s="31">
        <f>IF($A147="","",IF($M147-$T147&gt;0,$V147/($M147-$T147),""))</f>
        <v/>
      </c>
      <c r="X147" s="35">
        <f>IF($A147="","",DATE(YEAR($A147),MONTH($A147),1))</f>
        <v/>
      </c>
    </row>
    <row r="148">
      <c r="A148" s="18" t="n"/>
      <c r="B148" s="13" t="n"/>
      <c r="C148" s="13" t="n"/>
      <c r="D148" s="26" t="n"/>
      <c r="E148" s="12" t="n"/>
      <c r="F148" s="12" t="n"/>
      <c r="G148" s="12" t="n"/>
      <c r="H148" s="12" t="n"/>
      <c r="I148" s="13" t="n"/>
      <c r="J148" s="13" t="n"/>
      <c r="K148" s="12" t="n"/>
      <c r="L148" s="13" t="n"/>
      <c r="M148" s="15">
        <f>IF($A148="","",IF($D148="",1,$D148)*$E148+$F148-$H148)</f>
        <v/>
      </c>
      <c r="N148" s="15">
        <f>IF($A148="","",IF($B148="Etsy",IF($D148="",1,$D148)*Settings!$C$19,0))</f>
        <v/>
      </c>
      <c r="O148" s="15">
        <f>IF($A148="","",IF($B148="Etsy",Settings!$C$20*($M148+IF(Settings!$C$54="Y",0,$H148)),0))</f>
        <v/>
      </c>
      <c r="P148" s="15">
        <f>IF($A148="","",IF($B148="Etsy",Settings!$C$21*$M148*(1+Settings!$C$55)+Settings!$C$22,IF($B148="Shopify",Settings!$C$14*$M148+Settings!$C$15,0)))</f>
        <v/>
      </c>
      <c r="Q148" s="15">
        <f>IF($A148="","",IF(AND($B148="Etsy",$I148="Y"),MIN(Settings!$C$12*($M148+IF(Settings!$C$54="Y",0,$H148)),Settings!$C$25),0))</f>
        <v/>
      </c>
      <c r="R148" s="15">
        <f>IF($A148="","",IF(AND($B148="Etsy",$J148="Y",$L148="Y",$M148&gt;0),($O148+Settings!$C$21*$M148*(1+Settings!$C$55)+IF(Settings!$C$59="Y",$Q148,0))*$T148/$M148+IF(AND(Settings!$C$58="Y",$T148&gt;=$M148),Settings!$C$22,0),0))</f>
        <v/>
      </c>
      <c r="S148" s="15">
        <f>IF($A148="","",$N148+$O148+$P148+$Q148-$R148)</f>
        <v/>
      </c>
      <c r="T148" s="15">
        <f>IF($A148="","",IF($J148="Y",IF($K148="",$M148,MIN($K148,$M148)),0))</f>
        <v/>
      </c>
      <c r="U148" s="15">
        <f>IF($A148="","",IF($D148="",1,$D148)*IFERROR(INDEX(Products!$F$5:$F$54,MATCH($C148,Products!$A$5:$A$54,0)),0))</f>
        <v/>
      </c>
      <c r="V148" s="27">
        <f>IF($A148="","",$M148-$T148-$S148-$U148-$G148)</f>
        <v/>
      </c>
      <c r="W148" s="31">
        <f>IF($A148="","",IF($M148-$T148&gt;0,$V148/($M148-$T148),""))</f>
        <v/>
      </c>
      <c r="X148" s="35">
        <f>IF($A148="","",DATE(YEAR($A148),MONTH($A148),1))</f>
        <v/>
      </c>
    </row>
    <row r="149">
      <c r="A149" s="18" t="n"/>
      <c r="B149" s="13" t="n"/>
      <c r="C149" s="13" t="n"/>
      <c r="D149" s="26" t="n"/>
      <c r="E149" s="12" t="n"/>
      <c r="F149" s="12" t="n"/>
      <c r="G149" s="12" t="n"/>
      <c r="H149" s="12" t="n"/>
      <c r="I149" s="13" t="n"/>
      <c r="J149" s="13" t="n"/>
      <c r="K149" s="12" t="n"/>
      <c r="L149" s="13" t="n"/>
      <c r="M149" s="15">
        <f>IF($A149="","",IF($D149="",1,$D149)*$E149+$F149-$H149)</f>
        <v/>
      </c>
      <c r="N149" s="15">
        <f>IF($A149="","",IF($B149="Etsy",IF($D149="",1,$D149)*Settings!$C$19,0))</f>
        <v/>
      </c>
      <c r="O149" s="15">
        <f>IF($A149="","",IF($B149="Etsy",Settings!$C$20*($M149+IF(Settings!$C$54="Y",0,$H149)),0))</f>
        <v/>
      </c>
      <c r="P149" s="15">
        <f>IF($A149="","",IF($B149="Etsy",Settings!$C$21*$M149*(1+Settings!$C$55)+Settings!$C$22,IF($B149="Shopify",Settings!$C$14*$M149+Settings!$C$15,0)))</f>
        <v/>
      </c>
      <c r="Q149" s="15">
        <f>IF($A149="","",IF(AND($B149="Etsy",$I149="Y"),MIN(Settings!$C$12*($M149+IF(Settings!$C$54="Y",0,$H149)),Settings!$C$25),0))</f>
        <v/>
      </c>
      <c r="R149" s="15">
        <f>IF($A149="","",IF(AND($B149="Etsy",$J149="Y",$L149="Y",$M149&gt;0),($O149+Settings!$C$21*$M149*(1+Settings!$C$55)+IF(Settings!$C$59="Y",$Q149,0))*$T149/$M149+IF(AND(Settings!$C$58="Y",$T149&gt;=$M149),Settings!$C$22,0),0))</f>
        <v/>
      </c>
      <c r="S149" s="15">
        <f>IF($A149="","",$N149+$O149+$P149+$Q149-$R149)</f>
        <v/>
      </c>
      <c r="T149" s="15">
        <f>IF($A149="","",IF($J149="Y",IF($K149="",$M149,MIN($K149,$M149)),0))</f>
        <v/>
      </c>
      <c r="U149" s="15">
        <f>IF($A149="","",IF($D149="",1,$D149)*IFERROR(INDEX(Products!$F$5:$F$54,MATCH($C149,Products!$A$5:$A$54,0)),0))</f>
        <v/>
      </c>
      <c r="V149" s="27">
        <f>IF($A149="","",$M149-$T149-$S149-$U149-$G149)</f>
        <v/>
      </c>
      <c r="W149" s="31">
        <f>IF($A149="","",IF($M149-$T149&gt;0,$V149/($M149-$T149),""))</f>
        <v/>
      </c>
      <c r="X149" s="35">
        <f>IF($A149="","",DATE(YEAR($A149),MONTH($A149),1))</f>
        <v/>
      </c>
    </row>
    <row r="150">
      <c r="A150" s="18" t="n"/>
      <c r="B150" s="13" t="n"/>
      <c r="C150" s="13" t="n"/>
      <c r="D150" s="26" t="n"/>
      <c r="E150" s="12" t="n"/>
      <c r="F150" s="12" t="n"/>
      <c r="G150" s="12" t="n"/>
      <c r="H150" s="12" t="n"/>
      <c r="I150" s="13" t="n"/>
      <c r="J150" s="13" t="n"/>
      <c r="K150" s="12" t="n"/>
      <c r="L150" s="13" t="n"/>
      <c r="M150" s="15">
        <f>IF($A150="","",IF($D150="",1,$D150)*$E150+$F150-$H150)</f>
        <v/>
      </c>
      <c r="N150" s="15">
        <f>IF($A150="","",IF($B150="Etsy",IF($D150="",1,$D150)*Settings!$C$19,0))</f>
        <v/>
      </c>
      <c r="O150" s="15">
        <f>IF($A150="","",IF($B150="Etsy",Settings!$C$20*($M150+IF(Settings!$C$54="Y",0,$H150)),0))</f>
        <v/>
      </c>
      <c r="P150" s="15">
        <f>IF($A150="","",IF($B150="Etsy",Settings!$C$21*$M150*(1+Settings!$C$55)+Settings!$C$22,IF($B150="Shopify",Settings!$C$14*$M150+Settings!$C$15,0)))</f>
        <v/>
      </c>
      <c r="Q150" s="15">
        <f>IF($A150="","",IF(AND($B150="Etsy",$I150="Y"),MIN(Settings!$C$12*($M150+IF(Settings!$C$54="Y",0,$H150)),Settings!$C$25),0))</f>
        <v/>
      </c>
      <c r="R150" s="15">
        <f>IF($A150="","",IF(AND($B150="Etsy",$J150="Y",$L150="Y",$M150&gt;0),($O150+Settings!$C$21*$M150*(1+Settings!$C$55)+IF(Settings!$C$59="Y",$Q150,0))*$T150/$M150+IF(AND(Settings!$C$58="Y",$T150&gt;=$M150),Settings!$C$22,0),0))</f>
        <v/>
      </c>
      <c r="S150" s="15">
        <f>IF($A150="","",$N150+$O150+$P150+$Q150-$R150)</f>
        <v/>
      </c>
      <c r="T150" s="15">
        <f>IF($A150="","",IF($J150="Y",IF($K150="",$M150,MIN($K150,$M150)),0))</f>
        <v/>
      </c>
      <c r="U150" s="15">
        <f>IF($A150="","",IF($D150="",1,$D150)*IFERROR(INDEX(Products!$F$5:$F$54,MATCH($C150,Products!$A$5:$A$54,0)),0))</f>
        <v/>
      </c>
      <c r="V150" s="27">
        <f>IF($A150="","",$M150-$T150-$S150-$U150-$G150)</f>
        <v/>
      </c>
      <c r="W150" s="31">
        <f>IF($A150="","",IF($M150-$T150&gt;0,$V150/($M150-$T150),""))</f>
        <v/>
      </c>
      <c r="X150" s="35">
        <f>IF($A150="","",DATE(YEAR($A150),MONTH($A150),1))</f>
        <v/>
      </c>
    </row>
    <row r="151">
      <c r="A151" s="18" t="n"/>
      <c r="B151" s="13" t="n"/>
      <c r="C151" s="13" t="n"/>
      <c r="D151" s="26" t="n"/>
      <c r="E151" s="12" t="n"/>
      <c r="F151" s="12" t="n"/>
      <c r="G151" s="12" t="n"/>
      <c r="H151" s="12" t="n"/>
      <c r="I151" s="13" t="n"/>
      <c r="J151" s="13" t="n"/>
      <c r="K151" s="12" t="n"/>
      <c r="L151" s="13" t="n"/>
      <c r="M151" s="15">
        <f>IF($A151="","",IF($D151="",1,$D151)*$E151+$F151-$H151)</f>
        <v/>
      </c>
      <c r="N151" s="15">
        <f>IF($A151="","",IF($B151="Etsy",IF($D151="",1,$D151)*Settings!$C$19,0))</f>
        <v/>
      </c>
      <c r="O151" s="15">
        <f>IF($A151="","",IF($B151="Etsy",Settings!$C$20*($M151+IF(Settings!$C$54="Y",0,$H151)),0))</f>
        <v/>
      </c>
      <c r="P151" s="15">
        <f>IF($A151="","",IF($B151="Etsy",Settings!$C$21*$M151*(1+Settings!$C$55)+Settings!$C$22,IF($B151="Shopify",Settings!$C$14*$M151+Settings!$C$15,0)))</f>
        <v/>
      </c>
      <c r="Q151" s="15">
        <f>IF($A151="","",IF(AND($B151="Etsy",$I151="Y"),MIN(Settings!$C$12*($M151+IF(Settings!$C$54="Y",0,$H151)),Settings!$C$25),0))</f>
        <v/>
      </c>
      <c r="R151" s="15">
        <f>IF($A151="","",IF(AND($B151="Etsy",$J151="Y",$L151="Y",$M151&gt;0),($O151+Settings!$C$21*$M151*(1+Settings!$C$55)+IF(Settings!$C$59="Y",$Q151,0))*$T151/$M151+IF(AND(Settings!$C$58="Y",$T151&gt;=$M151),Settings!$C$22,0),0))</f>
        <v/>
      </c>
      <c r="S151" s="15">
        <f>IF($A151="","",$N151+$O151+$P151+$Q151-$R151)</f>
        <v/>
      </c>
      <c r="T151" s="15">
        <f>IF($A151="","",IF($J151="Y",IF($K151="",$M151,MIN($K151,$M151)),0))</f>
        <v/>
      </c>
      <c r="U151" s="15">
        <f>IF($A151="","",IF($D151="",1,$D151)*IFERROR(INDEX(Products!$F$5:$F$54,MATCH($C151,Products!$A$5:$A$54,0)),0))</f>
        <v/>
      </c>
      <c r="V151" s="27">
        <f>IF($A151="","",$M151-$T151-$S151-$U151-$G151)</f>
        <v/>
      </c>
      <c r="W151" s="31">
        <f>IF($A151="","",IF($M151-$T151&gt;0,$V151/($M151-$T151),""))</f>
        <v/>
      </c>
      <c r="X151" s="35">
        <f>IF($A151="","",DATE(YEAR($A151),MONTH($A151),1))</f>
        <v/>
      </c>
    </row>
    <row r="152">
      <c r="A152" s="18" t="n"/>
      <c r="B152" s="13" t="n"/>
      <c r="C152" s="13" t="n"/>
      <c r="D152" s="26" t="n"/>
      <c r="E152" s="12" t="n"/>
      <c r="F152" s="12" t="n"/>
      <c r="G152" s="12" t="n"/>
      <c r="H152" s="12" t="n"/>
      <c r="I152" s="13" t="n"/>
      <c r="J152" s="13" t="n"/>
      <c r="K152" s="12" t="n"/>
      <c r="L152" s="13" t="n"/>
      <c r="M152" s="15">
        <f>IF($A152="","",IF($D152="",1,$D152)*$E152+$F152-$H152)</f>
        <v/>
      </c>
      <c r="N152" s="15">
        <f>IF($A152="","",IF($B152="Etsy",IF($D152="",1,$D152)*Settings!$C$19,0))</f>
        <v/>
      </c>
      <c r="O152" s="15">
        <f>IF($A152="","",IF($B152="Etsy",Settings!$C$20*($M152+IF(Settings!$C$54="Y",0,$H152)),0))</f>
        <v/>
      </c>
      <c r="P152" s="15">
        <f>IF($A152="","",IF($B152="Etsy",Settings!$C$21*$M152*(1+Settings!$C$55)+Settings!$C$22,IF($B152="Shopify",Settings!$C$14*$M152+Settings!$C$15,0)))</f>
        <v/>
      </c>
      <c r="Q152" s="15">
        <f>IF($A152="","",IF(AND($B152="Etsy",$I152="Y"),MIN(Settings!$C$12*($M152+IF(Settings!$C$54="Y",0,$H152)),Settings!$C$25),0))</f>
        <v/>
      </c>
      <c r="R152" s="15">
        <f>IF($A152="","",IF(AND($B152="Etsy",$J152="Y",$L152="Y",$M152&gt;0),($O152+Settings!$C$21*$M152*(1+Settings!$C$55)+IF(Settings!$C$59="Y",$Q152,0))*$T152/$M152+IF(AND(Settings!$C$58="Y",$T152&gt;=$M152),Settings!$C$22,0),0))</f>
        <v/>
      </c>
      <c r="S152" s="15">
        <f>IF($A152="","",$N152+$O152+$P152+$Q152-$R152)</f>
        <v/>
      </c>
      <c r="T152" s="15">
        <f>IF($A152="","",IF($J152="Y",IF($K152="",$M152,MIN($K152,$M152)),0))</f>
        <v/>
      </c>
      <c r="U152" s="15">
        <f>IF($A152="","",IF($D152="",1,$D152)*IFERROR(INDEX(Products!$F$5:$F$54,MATCH($C152,Products!$A$5:$A$54,0)),0))</f>
        <v/>
      </c>
      <c r="V152" s="27">
        <f>IF($A152="","",$M152-$T152-$S152-$U152-$G152)</f>
        <v/>
      </c>
      <c r="W152" s="31">
        <f>IF($A152="","",IF($M152-$T152&gt;0,$V152/($M152-$T152),""))</f>
        <v/>
      </c>
      <c r="X152" s="35">
        <f>IF($A152="","",DATE(YEAR($A152),MONTH($A152),1))</f>
        <v/>
      </c>
    </row>
    <row r="153">
      <c r="A153" s="18" t="n"/>
      <c r="B153" s="13" t="n"/>
      <c r="C153" s="13" t="n"/>
      <c r="D153" s="26" t="n"/>
      <c r="E153" s="12" t="n"/>
      <c r="F153" s="12" t="n"/>
      <c r="G153" s="12" t="n"/>
      <c r="H153" s="12" t="n"/>
      <c r="I153" s="13" t="n"/>
      <c r="J153" s="13" t="n"/>
      <c r="K153" s="12" t="n"/>
      <c r="L153" s="13" t="n"/>
      <c r="M153" s="15">
        <f>IF($A153="","",IF($D153="",1,$D153)*$E153+$F153-$H153)</f>
        <v/>
      </c>
      <c r="N153" s="15">
        <f>IF($A153="","",IF($B153="Etsy",IF($D153="",1,$D153)*Settings!$C$19,0))</f>
        <v/>
      </c>
      <c r="O153" s="15">
        <f>IF($A153="","",IF($B153="Etsy",Settings!$C$20*($M153+IF(Settings!$C$54="Y",0,$H153)),0))</f>
        <v/>
      </c>
      <c r="P153" s="15">
        <f>IF($A153="","",IF($B153="Etsy",Settings!$C$21*$M153*(1+Settings!$C$55)+Settings!$C$22,IF($B153="Shopify",Settings!$C$14*$M153+Settings!$C$15,0)))</f>
        <v/>
      </c>
      <c r="Q153" s="15">
        <f>IF($A153="","",IF(AND($B153="Etsy",$I153="Y"),MIN(Settings!$C$12*($M153+IF(Settings!$C$54="Y",0,$H153)),Settings!$C$25),0))</f>
        <v/>
      </c>
      <c r="R153" s="15">
        <f>IF($A153="","",IF(AND($B153="Etsy",$J153="Y",$L153="Y",$M153&gt;0),($O153+Settings!$C$21*$M153*(1+Settings!$C$55)+IF(Settings!$C$59="Y",$Q153,0))*$T153/$M153+IF(AND(Settings!$C$58="Y",$T153&gt;=$M153),Settings!$C$22,0),0))</f>
        <v/>
      </c>
      <c r="S153" s="15">
        <f>IF($A153="","",$N153+$O153+$P153+$Q153-$R153)</f>
        <v/>
      </c>
      <c r="T153" s="15">
        <f>IF($A153="","",IF($J153="Y",IF($K153="",$M153,MIN($K153,$M153)),0))</f>
        <v/>
      </c>
      <c r="U153" s="15">
        <f>IF($A153="","",IF($D153="",1,$D153)*IFERROR(INDEX(Products!$F$5:$F$54,MATCH($C153,Products!$A$5:$A$54,0)),0))</f>
        <v/>
      </c>
      <c r="V153" s="27">
        <f>IF($A153="","",$M153-$T153-$S153-$U153-$G153)</f>
        <v/>
      </c>
      <c r="W153" s="31">
        <f>IF($A153="","",IF($M153-$T153&gt;0,$V153/($M153-$T153),""))</f>
        <v/>
      </c>
      <c r="X153" s="35">
        <f>IF($A153="","",DATE(YEAR($A153),MONTH($A153),1))</f>
        <v/>
      </c>
    </row>
    <row r="154">
      <c r="A154" s="18" t="n"/>
      <c r="B154" s="13" t="n"/>
      <c r="C154" s="13" t="n"/>
      <c r="D154" s="26" t="n"/>
      <c r="E154" s="12" t="n"/>
      <c r="F154" s="12" t="n"/>
      <c r="G154" s="12" t="n"/>
      <c r="H154" s="12" t="n"/>
      <c r="I154" s="13" t="n"/>
      <c r="J154" s="13" t="n"/>
      <c r="K154" s="12" t="n"/>
      <c r="L154" s="13" t="n"/>
      <c r="M154" s="15">
        <f>IF($A154="","",IF($D154="",1,$D154)*$E154+$F154-$H154)</f>
        <v/>
      </c>
      <c r="N154" s="15">
        <f>IF($A154="","",IF($B154="Etsy",IF($D154="",1,$D154)*Settings!$C$19,0))</f>
        <v/>
      </c>
      <c r="O154" s="15">
        <f>IF($A154="","",IF($B154="Etsy",Settings!$C$20*($M154+IF(Settings!$C$54="Y",0,$H154)),0))</f>
        <v/>
      </c>
      <c r="P154" s="15">
        <f>IF($A154="","",IF($B154="Etsy",Settings!$C$21*$M154*(1+Settings!$C$55)+Settings!$C$22,IF($B154="Shopify",Settings!$C$14*$M154+Settings!$C$15,0)))</f>
        <v/>
      </c>
      <c r="Q154" s="15">
        <f>IF($A154="","",IF(AND($B154="Etsy",$I154="Y"),MIN(Settings!$C$12*($M154+IF(Settings!$C$54="Y",0,$H154)),Settings!$C$25),0))</f>
        <v/>
      </c>
      <c r="R154" s="15">
        <f>IF($A154="","",IF(AND($B154="Etsy",$J154="Y",$L154="Y",$M154&gt;0),($O154+Settings!$C$21*$M154*(1+Settings!$C$55)+IF(Settings!$C$59="Y",$Q154,0))*$T154/$M154+IF(AND(Settings!$C$58="Y",$T154&gt;=$M154),Settings!$C$22,0),0))</f>
        <v/>
      </c>
      <c r="S154" s="15">
        <f>IF($A154="","",$N154+$O154+$P154+$Q154-$R154)</f>
        <v/>
      </c>
      <c r="T154" s="15">
        <f>IF($A154="","",IF($J154="Y",IF($K154="",$M154,MIN($K154,$M154)),0))</f>
        <v/>
      </c>
      <c r="U154" s="15">
        <f>IF($A154="","",IF($D154="",1,$D154)*IFERROR(INDEX(Products!$F$5:$F$54,MATCH($C154,Products!$A$5:$A$54,0)),0))</f>
        <v/>
      </c>
      <c r="V154" s="27">
        <f>IF($A154="","",$M154-$T154-$S154-$U154-$G154)</f>
        <v/>
      </c>
      <c r="W154" s="31">
        <f>IF($A154="","",IF($M154-$T154&gt;0,$V154/($M154-$T154),""))</f>
        <v/>
      </c>
      <c r="X154" s="35">
        <f>IF($A154="","",DATE(YEAR($A154),MONTH($A154),1))</f>
        <v/>
      </c>
    </row>
    <row r="155">
      <c r="A155" s="18" t="n"/>
      <c r="B155" s="13" t="n"/>
      <c r="C155" s="13" t="n"/>
      <c r="D155" s="26" t="n"/>
      <c r="E155" s="12" t="n"/>
      <c r="F155" s="12" t="n"/>
      <c r="G155" s="12" t="n"/>
      <c r="H155" s="12" t="n"/>
      <c r="I155" s="13" t="n"/>
      <c r="J155" s="13" t="n"/>
      <c r="K155" s="12" t="n"/>
      <c r="L155" s="13" t="n"/>
      <c r="M155" s="15">
        <f>IF($A155="","",IF($D155="",1,$D155)*$E155+$F155-$H155)</f>
        <v/>
      </c>
      <c r="N155" s="15">
        <f>IF($A155="","",IF($B155="Etsy",IF($D155="",1,$D155)*Settings!$C$19,0))</f>
        <v/>
      </c>
      <c r="O155" s="15">
        <f>IF($A155="","",IF($B155="Etsy",Settings!$C$20*($M155+IF(Settings!$C$54="Y",0,$H155)),0))</f>
        <v/>
      </c>
      <c r="P155" s="15">
        <f>IF($A155="","",IF($B155="Etsy",Settings!$C$21*$M155*(1+Settings!$C$55)+Settings!$C$22,IF($B155="Shopify",Settings!$C$14*$M155+Settings!$C$15,0)))</f>
        <v/>
      </c>
      <c r="Q155" s="15">
        <f>IF($A155="","",IF(AND($B155="Etsy",$I155="Y"),MIN(Settings!$C$12*($M155+IF(Settings!$C$54="Y",0,$H155)),Settings!$C$25),0))</f>
        <v/>
      </c>
      <c r="R155" s="15">
        <f>IF($A155="","",IF(AND($B155="Etsy",$J155="Y",$L155="Y",$M155&gt;0),($O155+Settings!$C$21*$M155*(1+Settings!$C$55)+IF(Settings!$C$59="Y",$Q155,0))*$T155/$M155+IF(AND(Settings!$C$58="Y",$T155&gt;=$M155),Settings!$C$22,0),0))</f>
        <v/>
      </c>
      <c r="S155" s="15">
        <f>IF($A155="","",$N155+$O155+$P155+$Q155-$R155)</f>
        <v/>
      </c>
      <c r="T155" s="15">
        <f>IF($A155="","",IF($J155="Y",IF($K155="",$M155,MIN($K155,$M155)),0))</f>
        <v/>
      </c>
      <c r="U155" s="15">
        <f>IF($A155="","",IF($D155="",1,$D155)*IFERROR(INDEX(Products!$F$5:$F$54,MATCH($C155,Products!$A$5:$A$54,0)),0))</f>
        <v/>
      </c>
      <c r="V155" s="27">
        <f>IF($A155="","",$M155-$T155-$S155-$U155-$G155)</f>
        <v/>
      </c>
      <c r="W155" s="31">
        <f>IF($A155="","",IF($M155-$T155&gt;0,$V155/($M155-$T155),""))</f>
        <v/>
      </c>
      <c r="X155" s="35">
        <f>IF($A155="","",DATE(YEAR($A155),MONTH($A155),1))</f>
        <v/>
      </c>
    </row>
    <row r="156">
      <c r="A156" s="18" t="n"/>
      <c r="B156" s="13" t="n"/>
      <c r="C156" s="13" t="n"/>
      <c r="D156" s="26" t="n"/>
      <c r="E156" s="12" t="n"/>
      <c r="F156" s="12" t="n"/>
      <c r="G156" s="12" t="n"/>
      <c r="H156" s="12" t="n"/>
      <c r="I156" s="13" t="n"/>
      <c r="J156" s="13" t="n"/>
      <c r="K156" s="12" t="n"/>
      <c r="L156" s="13" t="n"/>
      <c r="M156" s="15">
        <f>IF($A156="","",IF($D156="",1,$D156)*$E156+$F156-$H156)</f>
        <v/>
      </c>
      <c r="N156" s="15">
        <f>IF($A156="","",IF($B156="Etsy",IF($D156="",1,$D156)*Settings!$C$19,0))</f>
        <v/>
      </c>
      <c r="O156" s="15">
        <f>IF($A156="","",IF($B156="Etsy",Settings!$C$20*($M156+IF(Settings!$C$54="Y",0,$H156)),0))</f>
        <v/>
      </c>
      <c r="P156" s="15">
        <f>IF($A156="","",IF($B156="Etsy",Settings!$C$21*$M156*(1+Settings!$C$55)+Settings!$C$22,IF($B156="Shopify",Settings!$C$14*$M156+Settings!$C$15,0)))</f>
        <v/>
      </c>
      <c r="Q156" s="15">
        <f>IF($A156="","",IF(AND($B156="Etsy",$I156="Y"),MIN(Settings!$C$12*($M156+IF(Settings!$C$54="Y",0,$H156)),Settings!$C$25),0))</f>
        <v/>
      </c>
      <c r="R156" s="15">
        <f>IF($A156="","",IF(AND($B156="Etsy",$J156="Y",$L156="Y",$M156&gt;0),($O156+Settings!$C$21*$M156*(1+Settings!$C$55)+IF(Settings!$C$59="Y",$Q156,0))*$T156/$M156+IF(AND(Settings!$C$58="Y",$T156&gt;=$M156),Settings!$C$22,0),0))</f>
        <v/>
      </c>
      <c r="S156" s="15">
        <f>IF($A156="","",$N156+$O156+$P156+$Q156-$R156)</f>
        <v/>
      </c>
      <c r="T156" s="15">
        <f>IF($A156="","",IF($J156="Y",IF($K156="",$M156,MIN($K156,$M156)),0))</f>
        <v/>
      </c>
      <c r="U156" s="15">
        <f>IF($A156="","",IF($D156="",1,$D156)*IFERROR(INDEX(Products!$F$5:$F$54,MATCH($C156,Products!$A$5:$A$54,0)),0))</f>
        <v/>
      </c>
      <c r="V156" s="27">
        <f>IF($A156="","",$M156-$T156-$S156-$U156-$G156)</f>
        <v/>
      </c>
      <c r="W156" s="31">
        <f>IF($A156="","",IF($M156-$T156&gt;0,$V156/($M156-$T156),""))</f>
        <v/>
      </c>
      <c r="X156" s="35">
        <f>IF($A156="","",DATE(YEAR($A156),MONTH($A156),1))</f>
        <v/>
      </c>
    </row>
    <row r="157">
      <c r="A157" s="18" t="n"/>
      <c r="B157" s="13" t="n"/>
      <c r="C157" s="13" t="n"/>
      <c r="D157" s="26" t="n"/>
      <c r="E157" s="12" t="n"/>
      <c r="F157" s="12" t="n"/>
      <c r="G157" s="12" t="n"/>
      <c r="H157" s="12" t="n"/>
      <c r="I157" s="13" t="n"/>
      <c r="J157" s="13" t="n"/>
      <c r="K157" s="12" t="n"/>
      <c r="L157" s="13" t="n"/>
      <c r="M157" s="15">
        <f>IF($A157="","",IF($D157="",1,$D157)*$E157+$F157-$H157)</f>
        <v/>
      </c>
      <c r="N157" s="15">
        <f>IF($A157="","",IF($B157="Etsy",IF($D157="",1,$D157)*Settings!$C$19,0))</f>
        <v/>
      </c>
      <c r="O157" s="15">
        <f>IF($A157="","",IF($B157="Etsy",Settings!$C$20*($M157+IF(Settings!$C$54="Y",0,$H157)),0))</f>
        <v/>
      </c>
      <c r="P157" s="15">
        <f>IF($A157="","",IF($B157="Etsy",Settings!$C$21*$M157*(1+Settings!$C$55)+Settings!$C$22,IF($B157="Shopify",Settings!$C$14*$M157+Settings!$C$15,0)))</f>
        <v/>
      </c>
      <c r="Q157" s="15">
        <f>IF($A157="","",IF(AND($B157="Etsy",$I157="Y"),MIN(Settings!$C$12*($M157+IF(Settings!$C$54="Y",0,$H157)),Settings!$C$25),0))</f>
        <v/>
      </c>
      <c r="R157" s="15">
        <f>IF($A157="","",IF(AND($B157="Etsy",$J157="Y",$L157="Y",$M157&gt;0),($O157+Settings!$C$21*$M157*(1+Settings!$C$55)+IF(Settings!$C$59="Y",$Q157,0))*$T157/$M157+IF(AND(Settings!$C$58="Y",$T157&gt;=$M157),Settings!$C$22,0),0))</f>
        <v/>
      </c>
      <c r="S157" s="15">
        <f>IF($A157="","",$N157+$O157+$P157+$Q157-$R157)</f>
        <v/>
      </c>
      <c r="T157" s="15">
        <f>IF($A157="","",IF($J157="Y",IF($K157="",$M157,MIN($K157,$M157)),0))</f>
        <v/>
      </c>
      <c r="U157" s="15">
        <f>IF($A157="","",IF($D157="",1,$D157)*IFERROR(INDEX(Products!$F$5:$F$54,MATCH($C157,Products!$A$5:$A$54,0)),0))</f>
        <v/>
      </c>
      <c r="V157" s="27">
        <f>IF($A157="","",$M157-$T157-$S157-$U157-$G157)</f>
        <v/>
      </c>
      <c r="W157" s="31">
        <f>IF($A157="","",IF($M157-$T157&gt;0,$V157/($M157-$T157),""))</f>
        <v/>
      </c>
      <c r="X157" s="35">
        <f>IF($A157="","",DATE(YEAR($A157),MONTH($A157),1))</f>
        <v/>
      </c>
    </row>
    <row r="158">
      <c r="A158" s="18" t="n"/>
      <c r="B158" s="13" t="n"/>
      <c r="C158" s="13" t="n"/>
      <c r="D158" s="26" t="n"/>
      <c r="E158" s="12" t="n"/>
      <c r="F158" s="12" t="n"/>
      <c r="G158" s="12" t="n"/>
      <c r="H158" s="12" t="n"/>
      <c r="I158" s="13" t="n"/>
      <c r="J158" s="13" t="n"/>
      <c r="K158" s="12" t="n"/>
      <c r="L158" s="13" t="n"/>
      <c r="M158" s="15">
        <f>IF($A158="","",IF($D158="",1,$D158)*$E158+$F158-$H158)</f>
        <v/>
      </c>
      <c r="N158" s="15">
        <f>IF($A158="","",IF($B158="Etsy",IF($D158="",1,$D158)*Settings!$C$19,0))</f>
        <v/>
      </c>
      <c r="O158" s="15">
        <f>IF($A158="","",IF($B158="Etsy",Settings!$C$20*($M158+IF(Settings!$C$54="Y",0,$H158)),0))</f>
        <v/>
      </c>
      <c r="P158" s="15">
        <f>IF($A158="","",IF($B158="Etsy",Settings!$C$21*$M158*(1+Settings!$C$55)+Settings!$C$22,IF($B158="Shopify",Settings!$C$14*$M158+Settings!$C$15,0)))</f>
        <v/>
      </c>
      <c r="Q158" s="15">
        <f>IF($A158="","",IF(AND($B158="Etsy",$I158="Y"),MIN(Settings!$C$12*($M158+IF(Settings!$C$54="Y",0,$H158)),Settings!$C$25),0))</f>
        <v/>
      </c>
      <c r="R158" s="15">
        <f>IF($A158="","",IF(AND($B158="Etsy",$J158="Y",$L158="Y",$M158&gt;0),($O158+Settings!$C$21*$M158*(1+Settings!$C$55)+IF(Settings!$C$59="Y",$Q158,0))*$T158/$M158+IF(AND(Settings!$C$58="Y",$T158&gt;=$M158),Settings!$C$22,0),0))</f>
        <v/>
      </c>
      <c r="S158" s="15">
        <f>IF($A158="","",$N158+$O158+$P158+$Q158-$R158)</f>
        <v/>
      </c>
      <c r="T158" s="15">
        <f>IF($A158="","",IF($J158="Y",IF($K158="",$M158,MIN($K158,$M158)),0))</f>
        <v/>
      </c>
      <c r="U158" s="15">
        <f>IF($A158="","",IF($D158="",1,$D158)*IFERROR(INDEX(Products!$F$5:$F$54,MATCH($C158,Products!$A$5:$A$54,0)),0))</f>
        <v/>
      </c>
      <c r="V158" s="27">
        <f>IF($A158="","",$M158-$T158-$S158-$U158-$G158)</f>
        <v/>
      </c>
      <c r="W158" s="31">
        <f>IF($A158="","",IF($M158-$T158&gt;0,$V158/($M158-$T158),""))</f>
        <v/>
      </c>
      <c r="X158" s="35">
        <f>IF($A158="","",DATE(YEAR($A158),MONTH($A158),1))</f>
        <v/>
      </c>
    </row>
    <row r="159">
      <c r="A159" s="18" t="n"/>
      <c r="B159" s="13" t="n"/>
      <c r="C159" s="13" t="n"/>
      <c r="D159" s="26" t="n"/>
      <c r="E159" s="12" t="n"/>
      <c r="F159" s="12" t="n"/>
      <c r="G159" s="12" t="n"/>
      <c r="H159" s="12" t="n"/>
      <c r="I159" s="13" t="n"/>
      <c r="J159" s="13" t="n"/>
      <c r="K159" s="12" t="n"/>
      <c r="L159" s="13" t="n"/>
      <c r="M159" s="15">
        <f>IF($A159="","",IF($D159="",1,$D159)*$E159+$F159-$H159)</f>
        <v/>
      </c>
      <c r="N159" s="15">
        <f>IF($A159="","",IF($B159="Etsy",IF($D159="",1,$D159)*Settings!$C$19,0))</f>
        <v/>
      </c>
      <c r="O159" s="15">
        <f>IF($A159="","",IF($B159="Etsy",Settings!$C$20*($M159+IF(Settings!$C$54="Y",0,$H159)),0))</f>
        <v/>
      </c>
      <c r="P159" s="15">
        <f>IF($A159="","",IF($B159="Etsy",Settings!$C$21*$M159*(1+Settings!$C$55)+Settings!$C$22,IF($B159="Shopify",Settings!$C$14*$M159+Settings!$C$15,0)))</f>
        <v/>
      </c>
      <c r="Q159" s="15">
        <f>IF($A159="","",IF(AND($B159="Etsy",$I159="Y"),MIN(Settings!$C$12*($M159+IF(Settings!$C$54="Y",0,$H159)),Settings!$C$25),0))</f>
        <v/>
      </c>
      <c r="R159" s="15">
        <f>IF($A159="","",IF(AND($B159="Etsy",$J159="Y",$L159="Y",$M159&gt;0),($O159+Settings!$C$21*$M159*(1+Settings!$C$55)+IF(Settings!$C$59="Y",$Q159,0))*$T159/$M159+IF(AND(Settings!$C$58="Y",$T159&gt;=$M159),Settings!$C$22,0),0))</f>
        <v/>
      </c>
      <c r="S159" s="15">
        <f>IF($A159="","",$N159+$O159+$P159+$Q159-$R159)</f>
        <v/>
      </c>
      <c r="T159" s="15">
        <f>IF($A159="","",IF($J159="Y",IF($K159="",$M159,MIN($K159,$M159)),0))</f>
        <v/>
      </c>
      <c r="U159" s="15">
        <f>IF($A159="","",IF($D159="",1,$D159)*IFERROR(INDEX(Products!$F$5:$F$54,MATCH($C159,Products!$A$5:$A$54,0)),0))</f>
        <v/>
      </c>
      <c r="V159" s="27">
        <f>IF($A159="","",$M159-$T159-$S159-$U159-$G159)</f>
        <v/>
      </c>
      <c r="W159" s="31">
        <f>IF($A159="","",IF($M159-$T159&gt;0,$V159/($M159-$T159),""))</f>
        <v/>
      </c>
      <c r="X159" s="35">
        <f>IF($A159="","",DATE(YEAR($A159),MONTH($A159),1))</f>
        <v/>
      </c>
    </row>
    <row r="160">
      <c r="A160" s="18" t="n"/>
      <c r="B160" s="13" t="n"/>
      <c r="C160" s="13" t="n"/>
      <c r="D160" s="26" t="n"/>
      <c r="E160" s="12" t="n"/>
      <c r="F160" s="12" t="n"/>
      <c r="G160" s="12" t="n"/>
      <c r="H160" s="12" t="n"/>
      <c r="I160" s="13" t="n"/>
      <c r="J160" s="13" t="n"/>
      <c r="K160" s="12" t="n"/>
      <c r="L160" s="13" t="n"/>
      <c r="M160" s="15">
        <f>IF($A160="","",IF($D160="",1,$D160)*$E160+$F160-$H160)</f>
        <v/>
      </c>
      <c r="N160" s="15">
        <f>IF($A160="","",IF($B160="Etsy",IF($D160="",1,$D160)*Settings!$C$19,0))</f>
        <v/>
      </c>
      <c r="O160" s="15">
        <f>IF($A160="","",IF($B160="Etsy",Settings!$C$20*($M160+IF(Settings!$C$54="Y",0,$H160)),0))</f>
        <v/>
      </c>
      <c r="P160" s="15">
        <f>IF($A160="","",IF($B160="Etsy",Settings!$C$21*$M160*(1+Settings!$C$55)+Settings!$C$22,IF($B160="Shopify",Settings!$C$14*$M160+Settings!$C$15,0)))</f>
        <v/>
      </c>
      <c r="Q160" s="15">
        <f>IF($A160="","",IF(AND($B160="Etsy",$I160="Y"),MIN(Settings!$C$12*($M160+IF(Settings!$C$54="Y",0,$H160)),Settings!$C$25),0))</f>
        <v/>
      </c>
      <c r="R160" s="15">
        <f>IF($A160="","",IF(AND($B160="Etsy",$J160="Y",$L160="Y",$M160&gt;0),($O160+Settings!$C$21*$M160*(1+Settings!$C$55)+IF(Settings!$C$59="Y",$Q160,0))*$T160/$M160+IF(AND(Settings!$C$58="Y",$T160&gt;=$M160),Settings!$C$22,0),0))</f>
        <v/>
      </c>
      <c r="S160" s="15">
        <f>IF($A160="","",$N160+$O160+$P160+$Q160-$R160)</f>
        <v/>
      </c>
      <c r="T160" s="15">
        <f>IF($A160="","",IF($J160="Y",IF($K160="",$M160,MIN($K160,$M160)),0))</f>
        <v/>
      </c>
      <c r="U160" s="15">
        <f>IF($A160="","",IF($D160="",1,$D160)*IFERROR(INDEX(Products!$F$5:$F$54,MATCH($C160,Products!$A$5:$A$54,0)),0))</f>
        <v/>
      </c>
      <c r="V160" s="27">
        <f>IF($A160="","",$M160-$T160-$S160-$U160-$G160)</f>
        <v/>
      </c>
      <c r="W160" s="31">
        <f>IF($A160="","",IF($M160-$T160&gt;0,$V160/($M160-$T160),""))</f>
        <v/>
      </c>
      <c r="X160" s="35">
        <f>IF($A160="","",DATE(YEAR($A160),MONTH($A160),1))</f>
        <v/>
      </c>
    </row>
    <row r="161">
      <c r="A161" s="18" t="n"/>
      <c r="B161" s="13" t="n"/>
      <c r="C161" s="13" t="n"/>
      <c r="D161" s="26" t="n"/>
      <c r="E161" s="12" t="n"/>
      <c r="F161" s="12" t="n"/>
      <c r="G161" s="12" t="n"/>
      <c r="H161" s="12" t="n"/>
      <c r="I161" s="13" t="n"/>
      <c r="J161" s="13" t="n"/>
      <c r="K161" s="12" t="n"/>
      <c r="L161" s="13" t="n"/>
      <c r="M161" s="15">
        <f>IF($A161="","",IF($D161="",1,$D161)*$E161+$F161-$H161)</f>
        <v/>
      </c>
      <c r="N161" s="15">
        <f>IF($A161="","",IF($B161="Etsy",IF($D161="",1,$D161)*Settings!$C$19,0))</f>
        <v/>
      </c>
      <c r="O161" s="15">
        <f>IF($A161="","",IF($B161="Etsy",Settings!$C$20*($M161+IF(Settings!$C$54="Y",0,$H161)),0))</f>
        <v/>
      </c>
      <c r="P161" s="15">
        <f>IF($A161="","",IF($B161="Etsy",Settings!$C$21*$M161*(1+Settings!$C$55)+Settings!$C$22,IF($B161="Shopify",Settings!$C$14*$M161+Settings!$C$15,0)))</f>
        <v/>
      </c>
      <c r="Q161" s="15">
        <f>IF($A161="","",IF(AND($B161="Etsy",$I161="Y"),MIN(Settings!$C$12*($M161+IF(Settings!$C$54="Y",0,$H161)),Settings!$C$25),0))</f>
        <v/>
      </c>
      <c r="R161" s="15">
        <f>IF($A161="","",IF(AND($B161="Etsy",$J161="Y",$L161="Y",$M161&gt;0),($O161+Settings!$C$21*$M161*(1+Settings!$C$55)+IF(Settings!$C$59="Y",$Q161,0))*$T161/$M161+IF(AND(Settings!$C$58="Y",$T161&gt;=$M161),Settings!$C$22,0),0))</f>
        <v/>
      </c>
      <c r="S161" s="15">
        <f>IF($A161="","",$N161+$O161+$P161+$Q161-$R161)</f>
        <v/>
      </c>
      <c r="T161" s="15">
        <f>IF($A161="","",IF($J161="Y",IF($K161="",$M161,MIN($K161,$M161)),0))</f>
        <v/>
      </c>
      <c r="U161" s="15">
        <f>IF($A161="","",IF($D161="",1,$D161)*IFERROR(INDEX(Products!$F$5:$F$54,MATCH($C161,Products!$A$5:$A$54,0)),0))</f>
        <v/>
      </c>
      <c r="V161" s="27">
        <f>IF($A161="","",$M161-$T161-$S161-$U161-$G161)</f>
        <v/>
      </c>
      <c r="W161" s="31">
        <f>IF($A161="","",IF($M161-$T161&gt;0,$V161/($M161-$T161),""))</f>
        <v/>
      </c>
      <c r="X161" s="35">
        <f>IF($A161="","",DATE(YEAR($A161),MONTH($A161),1))</f>
        <v/>
      </c>
    </row>
    <row r="162">
      <c r="A162" s="18" t="n"/>
      <c r="B162" s="13" t="n"/>
      <c r="C162" s="13" t="n"/>
      <c r="D162" s="26" t="n"/>
      <c r="E162" s="12" t="n"/>
      <c r="F162" s="12" t="n"/>
      <c r="G162" s="12" t="n"/>
      <c r="H162" s="12" t="n"/>
      <c r="I162" s="13" t="n"/>
      <c r="J162" s="13" t="n"/>
      <c r="K162" s="12" t="n"/>
      <c r="L162" s="13" t="n"/>
      <c r="M162" s="15">
        <f>IF($A162="","",IF($D162="",1,$D162)*$E162+$F162-$H162)</f>
        <v/>
      </c>
      <c r="N162" s="15">
        <f>IF($A162="","",IF($B162="Etsy",IF($D162="",1,$D162)*Settings!$C$19,0))</f>
        <v/>
      </c>
      <c r="O162" s="15">
        <f>IF($A162="","",IF($B162="Etsy",Settings!$C$20*($M162+IF(Settings!$C$54="Y",0,$H162)),0))</f>
        <v/>
      </c>
      <c r="P162" s="15">
        <f>IF($A162="","",IF($B162="Etsy",Settings!$C$21*$M162*(1+Settings!$C$55)+Settings!$C$22,IF($B162="Shopify",Settings!$C$14*$M162+Settings!$C$15,0)))</f>
        <v/>
      </c>
      <c r="Q162" s="15">
        <f>IF($A162="","",IF(AND($B162="Etsy",$I162="Y"),MIN(Settings!$C$12*($M162+IF(Settings!$C$54="Y",0,$H162)),Settings!$C$25),0))</f>
        <v/>
      </c>
      <c r="R162" s="15">
        <f>IF($A162="","",IF(AND($B162="Etsy",$J162="Y",$L162="Y",$M162&gt;0),($O162+Settings!$C$21*$M162*(1+Settings!$C$55)+IF(Settings!$C$59="Y",$Q162,0))*$T162/$M162+IF(AND(Settings!$C$58="Y",$T162&gt;=$M162),Settings!$C$22,0),0))</f>
        <v/>
      </c>
      <c r="S162" s="15">
        <f>IF($A162="","",$N162+$O162+$P162+$Q162-$R162)</f>
        <v/>
      </c>
      <c r="T162" s="15">
        <f>IF($A162="","",IF($J162="Y",IF($K162="",$M162,MIN($K162,$M162)),0))</f>
        <v/>
      </c>
      <c r="U162" s="15">
        <f>IF($A162="","",IF($D162="",1,$D162)*IFERROR(INDEX(Products!$F$5:$F$54,MATCH($C162,Products!$A$5:$A$54,0)),0))</f>
        <v/>
      </c>
      <c r="V162" s="27">
        <f>IF($A162="","",$M162-$T162-$S162-$U162-$G162)</f>
        <v/>
      </c>
      <c r="W162" s="31">
        <f>IF($A162="","",IF($M162-$T162&gt;0,$V162/($M162-$T162),""))</f>
        <v/>
      </c>
      <c r="X162" s="35">
        <f>IF($A162="","",DATE(YEAR($A162),MONTH($A162),1))</f>
        <v/>
      </c>
    </row>
    <row r="163">
      <c r="A163" s="18" t="n"/>
      <c r="B163" s="13" t="n"/>
      <c r="C163" s="13" t="n"/>
      <c r="D163" s="26" t="n"/>
      <c r="E163" s="12" t="n"/>
      <c r="F163" s="12" t="n"/>
      <c r="G163" s="12" t="n"/>
      <c r="H163" s="12" t="n"/>
      <c r="I163" s="13" t="n"/>
      <c r="J163" s="13" t="n"/>
      <c r="K163" s="12" t="n"/>
      <c r="L163" s="13" t="n"/>
      <c r="M163" s="15">
        <f>IF($A163="","",IF($D163="",1,$D163)*$E163+$F163-$H163)</f>
        <v/>
      </c>
      <c r="N163" s="15">
        <f>IF($A163="","",IF($B163="Etsy",IF($D163="",1,$D163)*Settings!$C$19,0))</f>
        <v/>
      </c>
      <c r="O163" s="15">
        <f>IF($A163="","",IF($B163="Etsy",Settings!$C$20*($M163+IF(Settings!$C$54="Y",0,$H163)),0))</f>
        <v/>
      </c>
      <c r="P163" s="15">
        <f>IF($A163="","",IF($B163="Etsy",Settings!$C$21*$M163*(1+Settings!$C$55)+Settings!$C$22,IF($B163="Shopify",Settings!$C$14*$M163+Settings!$C$15,0)))</f>
        <v/>
      </c>
      <c r="Q163" s="15">
        <f>IF($A163="","",IF(AND($B163="Etsy",$I163="Y"),MIN(Settings!$C$12*($M163+IF(Settings!$C$54="Y",0,$H163)),Settings!$C$25),0))</f>
        <v/>
      </c>
      <c r="R163" s="15">
        <f>IF($A163="","",IF(AND($B163="Etsy",$J163="Y",$L163="Y",$M163&gt;0),($O163+Settings!$C$21*$M163*(1+Settings!$C$55)+IF(Settings!$C$59="Y",$Q163,0))*$T163/$M163+IF(AND(Settings!$C$58="Y",$T163&gt;=$M163),Settings!$C$22,0),0))</f>
        <v/>
      </c>
      <c r="S163" s="15">
        <f>IF($A163="","",$N163+$O163+$P163+$Q163-$R163)</f>
        <v/>
      </c>
      <c r="T163" s="15">
        <f>IF($A163="","",IF($J163="Y",IF($K163="",$M163,MIN($K163,$M163)),0))</f>
        <v/>
      </c>
      <c r="U163" s="15">
        <f>IF($A163="","",IF($D163="",1,$D163)*IFERROR(INDEX(Products!$F$5:$F$54,MATCH($C163,Products!$A$5:$A$54,0)),0))</f>
        <v/>
      </c>
      <c r="V163" s="27">
        <f>IF($A163="","",$M163-$T163-$S163-$U163-$G163)</f>
        <v/>
      </c>
      <c r="W163" s="31">
        <f>IF($A163="","",IF($M163-$T163&gt;0,$V163/($M163-$T163),""))</f>
        <v/>
      </c>
      <c r="X163" s="35">
        <f>IF($A163="","",DATE(YEAR($A163),MONTH($A163),1))</f>
        <v/>
      </c>
    </row>
    <row r="164">
      <c r="A164" s="18" t="n"/>
      <c r="B164" s="13" t="n"/>
      <c r="C164" s="13" t="n"/>
      <c r="D164" s="26" t="n"/>
      <c r="E164" s="12" t="n"/>
      <c r="F164" s="12" t="n"/>
      <c r="G164" s="12" t="n"/>
      <c r="H164" s="12" t="n"/>
      <c r="I164" s="13" t="n"/>
      <c r="J164" s="13" t="n"/>
      <c r="K164" s="12" t="n"/>
      <c r="L164" s="13" t="n"/>
      <c r="M164" s="15">
        <f>IF($A164="","",IF($D164="",1,$D164)*$E164+$F164-$H164)</f>
        <v/>
      </c>
      <c r="N164" s="15">
        <f>IF($A164="","",IF($B164="Etsy",IF($D164="",1,$D164)*Settings!$C$19,0))</f>
        <v/>
      </c>
      <c r="O164" s="15">
        <f>IF($A164="","",IF($B164="Etsy",Settings!$C$20*($M164+IF(Settings!$C$54="Y",0,$H164)),0))</f>
        <v/>
      </c>
      <c r="P164" s="15">
        <f>IF($A164="","",IF($B164="Etsy",Settings!$C$21*$M164*(1+Settings!$C$55)+Settings!$C$22,IF($B164="Shopify",Settings!$C$14*$M164+Settings!$C$15,0)))</f>
        <v/>
      </c>
      <c r="Q164" s="15">
        <f>IF($A164="","",IF(AND($B164="Etsy",$I164="Y"),MIN(Settings!$C$12*($M164+IF(Settings!$C$54="Y",0,$H164)),Settings!$C$25),0))</f>
        <v/>
      </c>
      <c r="R164" s="15">
        <f>IF($A164="","",IF(AND($B164="Etsy",$J164="Y",$L164="Y",$M164&gt;0),($O164+Settings!$C$21*$M164*(1+Settings!$C$55)+IF(Settings!$C$59="Y",$Q164,0))*$T164/$M164+IF(AND(Settings!$C$58="Y",$T164&gt;=$M164),Settings!$C$22,0),0))</f>
        <v/>
      </c>
      <c r="S164" s="15">
        <f>IF($A164="","",$N164+$O164+$P164+$Q164-$R164)</f>
        <v/>
      </c>
      <c r="T164" s="15">
        <f>IF($A164="","",IF($J164="Y",IF($K164="",$M164,MIN($K164,$M164)),0))</f>
        <v/>
      </c>
      <c r="U164" s="15">
        <f>IF($A164="","",IF($D164="",1,$D164)*IFERROR(INDEX(Products!$F$5:$F$54,MATCH($C164,Products!$A$5:$A$54,0)),0))</f>
        <v/>
      </c>
      <c r="V164" s="27">
        <f>IF($A164="","",$M164-$T164-$S164-$U164-$G164)</f>
        <v/>
      </c>
      <c r="W164" s="31">
        <f>IF($A164="","",IF($M164-$T164&gt;0,$V164/($M164-$T164),""))</f>
        <v/>
      </c>
      <c r="X164" s="35">
        <f>IF($A164="","",DATE(YEAR($A164),MONTH($A164),1))</f>
        <v/>
      </c>
    </row>
    <row r="165">
      <c r="A165" s="18" t="n"/>
      <c r="B165" s="13" t="n"/>
      <c r="C165" s="13" t="n"/>
      <c r="D165" s="26" t="n"/>
      <c r="E165" s="12" t="n"/>
      <c r="F165" s="12" t="n"/>
      <c r="G165" s="12" t="n"/>
      <c r="H165" s="12" t="n"/>
      <c r="I165" s="13" t="n"/>
      <c r="J165" s="13" t="n"/>
      <c r="K165" s="12" t="n"/>
      <c r="L165" s="13" t="n"/>
      <c r="M165" s="15">
        <f>IF($A165="","",IF($D165="",1,$D165)*$E165+$F165-$H165)</f>
        <v/>
      </c>
      <c r="N165" s="15">
        <f>IF($A165="","",IF($B165="Etsy",IF($D165="",1,$D165)*Settings!$C$19,0))</f>
        <v/>
      </c>
      <c r="O165" s="15">
        <f>IF($A165="","",IF($B165="Etsy",Settings!$C$20*($M165+IF(Settings!$C$54="Y",0,$H165)),0))</f>
        <v/>
      </c>
      <c r="P165" s="15">
        <f>IF($A165="","",IF($B165="Etsy",Settings!$C$21*$M165*(1+Settings!$C$55)+Settings!$C$22,IF($B165="Shopify",Settings!$C$14*$M165+Settings!$C$15,0)))</f>
        <v/>
      </c>
      <c r="Q165" s="15">
        <f>IF($A165="","",IF(AND($B165="Etsy",$I165="Y"),MIN(Settings!$C$12*($M165+IF(Settings!$C$54="Y",0,$H165)),Settings!$C$25),0))</f>
        <v/>
      </c>
      <c r="R165" s="15">
        <f>IF($A165="","",IF(AND($B165="Etsy",$J165="Y",$L165="Y",$M165&gt;0),($O165+Settings!$C$21*$M165*(1+Settings!$C$55)+IF(Settings!$C$59="Y",$Q165,0))*$T165/$M165+IF(AND(Settings!$C$58="Y",$T165&gt;=$M165),Settings!$C$22,0),0))</f>
        <v/>
      </c>
      <c r="S165" s="15">
        <f>IF($A165="","",$N165+$O165+$P165+$Q165-$R165)</f>
        <v/>
      </c>
      <c r="T165" s="15">
        <f>IF($A165="","",IF($J165="Y",IF($K165="",$M165,MIN($K165,$M165)),0))</f>
        <v/>
      </c>
      <c r="U165" s="15">
        <f>IF($A165="","",IF($D165="",1,$D165)*IFERROR(INDEX(Products!$F$5:$F$54,MATCH($C165,Products!$A$5:$A$54,0)),0))</f>
        <v/>
      </c>
      <c r="V165" s="27">
        <f>IF($A165="","",$M165-$T165-$S165-$U165-$G165)</f>
        <v/>
      </c>
      <c r="W165" s="31">
        <f>IF($A165="","",IF($M165-$T165&gt;0,$V165/($M165-$T165),""))</f>
        <v/>
      </c>
      <c r="X165" s="35">
        <f>IF($A165="","",DATE(YEAR($A165),MONTH($A165),1))</f>
        <v/>
      </c>
    </row>
    <row r="166">
      <c r="A166" s="18" t="n"/>
      <c r="B166" s="13" t="n"/>
      <c r="C166" s="13" t="n"/>
      <c r="D166" s="26" t="n"/>
      <c r="E166" s="12" t="n"/>
      <c r="F166" s="12" t="n"/>
      <c r="G166" s="12" t="n"/>
      <c r="H166" s="12" t="n"/>
      <c r="I166" s="13" t="n"/>
      <c r="J166" s="13" t="n"/>
      <c r="K166" s="12" t="n"/>
      <c r="L166" s="13" t="n"/>
      <c r="M166" s="15">
        <f>IF($A166="","",IF($D166="",1,$D166)*$E166+$F166-$H166)</f>
        <v/>
      </c>
      <c r="N166" s="15">
        <f>IF($A166="","",IF($B166="Etsy",IF($D166="",1,$D166)*Settings!$C$19,0))</f>
        <v/>
      </c>
      <c r="O166" s="15">
        <f>IF($A166="","",IF($B166="Etsy",Settings!$C$20*($M166+IF(Settings!$C$54="Y",0,$H166)),0))</f>
        <v/>
      </c>
      <c r="P166" s="15">
        <f>IF($A166="","",IF($B166="Etsy",Settings!$C$21*$M166*(1+Settings!$C$55)+Settings!$C$22,IF($B166="Shopify",Settings!$C$14*$M166+Settings!$C$15,0)))</f>
        <v/>
      </c>
      <c r="Q166" s="15">
        <f>IF($A166="","",IF(AND($B166="Etsy",$I166="Y"),MIN(Settings!$C$12*($M166+IF(Settings!$C$54="Y",0,$H166)),Settings!$C$25),0))</f>
        <v/>
      </c>
      <c r="R166" s="15">
        <f>IF($A166="","",IF(AND($B166="Etsy",$J166="Y",$L166="Y",$M166&gt;0),($O166+Settings!$C$21*$M166*(1+Settings!$C$55)+IF(Settings!$C$59="Y",$Q166,0))*$T166/$M166+IF(AND(Settings!$C$58="Y",$T166&gt;=$M166),Settings!$C$22,0),0))</f>
        <v/>
      </c>
      <c r="S166" s="15">
        <f>IF($A166="","",$N166+$O166+$P166+$Q166-$R166)</f>
        <v/>
      </c>
      <c r="T166" s="15">
        <f>IF($A166="","",IF($J166="Y",IF($K166="",$M166,MIN($K166,$M166)),0))</f>
        <v/>
      </c>
      <c r="U166" s="15">
        <f>IF($A166="","",IF($D166="",1,$D166)*IFERROR(INDEX(Products!$F$5:$F$54,MATCH($C166,Products!$A$5:$A$54,0)),0))</f>
        <v/>
      </c>
      <c r="V166" s="27">
        <f>IF($A166="","",$M166-$T166-$S166-$U166-$G166)</f>
        <v/>
      </c>
      <c r="W166" s="31">
        <f>IF($A166="","",IF($M166-$T166&gt;0,$V166/($M166-$T166),""))</f>
        <v/>
      </c>
      <c r="X166" s="35">
        <f>IF($A166="","",DATE(YEAR($A166),MONTH($A166),1))</f>
        <v/>
      </c>
    </row>
    <row r="167">
      <c r="A167" s="18" t="n"/>
      <c r="B167" s="13" t="n"/>
      <c r="C167" s="13" t="n"/>
      <c r="D167" s="26" t="n"/>
      <c r="E167" s="12" t="n"/>
      <c r="F167" s="12" t="n"/>
      <c r="G167" s="12" t="n"/>
      <c r="H167" s="12" t="n"/>
      <c r="I167" s="13" t="n"/>
      <c r="J167" s="13" t="n"/>
      <c r="K167" s="12" t="n"/>
      <c r="L167" s="13" t="n"/>
      <c r="M167" s="15">
        <f>IF($A167="","",IF($D167="",1,$D167)*$E167+$F167-$H167)</f>
        <v/>
      </c>
      <c r="N167" s="15">
        <f>IF($A167="","",IF($B167="Etsy",IF($D167="",1,$D167)*Settings!$C$19,0))</f>
        <v/>
      </c>
      <c r="O167" s="15">
        <f>IF($A167="","",IF($B167="Etsy",Settings!$C$20*($M167+IF(Settings!$C$54="Y",0,$H167)),0))</f>
        <v/>
      </c>
      <c r="P167" s="15">
        <f>IF($A167="","",IF($B167="Etsy",Settings!$C$21*$M167*(1+Settings!$C$55)+Settings!$C$22,IF($B167="Shopify",Settings!$C$14*$M167+Settings!$C$15,0)))</f>
        <v/>
      </c>
      <c r="Q167" s="15">
        <f>IF($A167="","",IF(AND($B167="Etsy",$I167="Y"),MIN(Settings!$C$12*($M167+IF(Settings!$C$54="Y",0,$H167)),Settings!$C$25),0))</f>
        <v/>
      </c>
      <c r="R167" s="15">
        <f>IF($A167="","",IF(AND($B167="Etsy",$J167="Y",$L167="Y",$M167&gt;0),($O167+Settings!$C$21*$M167*(1+Settings!$C$55)+IF(Settings!$C$59="Y",$Q167,0))*$T167/$M167+IF(AND(Settings!$C$58="Y",$T167&gt;=$M167),Settings!$C$22,0),0))</f>
        <v/>
      </c>
      <c r="S167" s="15">
        <f>IF($A167="","",$N167+$O167+$P167+$Q167-$R167)</f>
        <v/>
      </c>
      <c r="T167" s="15">
        <f>IF($A167="","",IF($J167="Y",IF($K167="",$M167,MIN($K167,$M167)),0))</f>
        <v/>
      </c>
      <c r="U167" s="15">
        <f>IF($A167="","",IF($D167="",1,$D167)*IFERROR(INDEX(Products!$F$5:$F$54,MATCH($C167,Products!$A$5:$A$54,0)),0))</f>
        <v/>
      </c>
      <c r="V167" s="27">
        <f>IF($A167="","",$M167-$T167-$S167-$U167-$G167)</f>
        <v/>
      </c>
      <c r="W167" s="31">
        <f>IF($A167="","",IF($M167-$T167&gt;0,$V167/($M167-$T167),""))</f>
        <v/>
      </c>
      <c r="X167" s="35">
        <f>IF($A167="","",DATE(YEAR($A167),MONTH($A167),1))</f>
        <v/>
      </c>
    </row>
    <row r="168">
      <c r="A168" s="18" t="n"/>
      <c r="B168" s="13" t="n"/>
      <c r="C168" s="13" t="n"/>
      <c r="D168" s="26" t="n"/>
      <c r="E168" s="12" t="n"/>
      <c r="F168" s="12" t="n"/>
      <c r="G168" s="12" t="n"/>
      <c r="H168" s="12" t="n"/>
      <c r="I168" s="13" t="n"/>
      <c r="J168" s="13" t="n"/>
      <c r="K168" s="12" t="n"/>
      <c r="L168" s="13" t="n"/>
      <c r="M168" s="15">
        <f>IF($A168="","",IF($D168="",1,$D168)*$E168+$F168-$H168)</f>
        <v/>
      </c>
      <c r="N168" s="15">
        <f>IF($A168="","",IF($B168="Etsy",IF($D168="",1,$D168)*Settings!$C$19,0))</f>
        <v/>
      </c>
      <c r="O168" s="15">
        <f>IF($A168="","",IF($B168="Etsy",Settings!$C$20*($M168+IF(Settings!$C$54="Y",0,$H168)),0))</f>
        <v/>
      </c>
      <c r="P168" s="15">
        <f>IF($A168="","",IF($B168="Etsy",Settings!$C$21*$M168*(1+Settings!$C$55)+Settings!$C$22,IF($B168="Shopify",Settings!$C$14*$M168+Settings!$C$15,0)))</f>
        <v/>
      </c>
      <c r="Q168" s="15">
        <f>IF($A168="","",IF(AND($B168="Etsy",$I168="Y"),MIN(Settings!$C$12*($M168+IF(Settings!$C$54="Y",0,$H168)),Settings!$C$25),0))</f>
        <v/>
      </c>
      <c r="R168" s="15">
        <f>IF($A168="","",IF(AND($B168="Etsy",$J168="Y",$L168="Y",$M168&gt;0),($O168+Settings!$C$21*$M168*(1+Settings!$C$55)+IF(Settings!$C$59="Y",$Q168,0))*$T168/$M168+IF(AND(Settings!$C$58="Y",$T168&gt;=$M168),Settings!$C$22,0),0))</f>
        <v/>
      </c>
      <c r="S168" s="15">
        <f>IF($A168="","",$N168+$O168+$P168+$Q168-$R168)</f>
        <v/>
      </c>
      <c r="T168" s="15">
        <f>IF($A168="","",IF($J168="Y",IF($K168="",$M168,MIN($K168,$M168)),0))</f>
        <v/>
      </c>
      <c r="U168" s="15">
        <f>IF($A168="","",IF($D168="",1,$D168)*IFERROR(INDEX(Products!$F$5:$F$54,MATCH($C168,Products!$A$5:$A$54,0)),0))</f>
        <v/>
      </c>
      <c r="V168" s="27">
        <f>IF($A168="","",$M168-$T168-$S168-$U168-$G168)</f>
        <v/>
      </c>
      <c r="W168" s="31">
        <f>IF($A168="","",IF($M168-$T168&gt;0,$V168/($M168-$T168),""))</f>
        <v/>
      </c>
      <c r="X168" s="35">
        <f>IF($A168="","",DATE(YEAR($A168),MONTH($A168),1))</f>
        <v/>
      </c>
    </row>
    <row r="169">
      <c r="A169" s="18" t="n"/>
      <c r="B169" s="13" t="n"/>
      <c r="C169" s="13" t="n"/>
      <c r="D169" s="26" t="n"/>
      <c r="E169" s="12" t="n"/>
      <c r="F169" s="12" t="n"/>
      <c r="G169" s="12" t="n"/>
      <c r="H169" s="12" t="n"/>
      <c r="I169" s="13" t="n"/>
      <c r="J169" s="13" t="n"/>
      <c r="K169" s="12" t="n"/>
      <c r="L169" s="13" t="n"/>
      <c r="M169" s="15">
        <f>IF($A169="","",IF($D169="",1,$D169)*$E169+$F169-$H169)</f>
        <v/>
      </c>
      <c r="N169" s="15">
        <f>IF($A169="","",IF($B169="Etsy",IF($D169="",1,$D169)*Settings!$C$19,0))</f>
        <v/>
      </c>
      <c r="O169" s="15">
        <f>IF($A169="","",IF($B169="Etsy",Settings!$C$20*($M169+IF(Settings!$C$54="Y",0,$H169)),0))</f>
        <v/>
      </c>
      <c r="P169" s="15">
        <f>IF($A169="","",IF($B169="Etsy",Settings!$C$21*$M169*(1+Settings!$C$55)+Settings!$C$22,IF($B169="Shopify",Settings!$C$14*$M169+Settings!$C$15,0)))</f>
        <v/>
      </c>
      <c r="Q169" s="15">
        <f>IF($A169="","",IF(AND($B169="Etsy",$I169="Y"),MIN(Settings!$C$12*($M169+IF(Settings!$C$54="Y",0,$H169)),Settings!$C$25),0))</f>
        <v/>
      </c>
      <c r="R169" s="15">
        <f>IF($A169="","",IF(AND($B169="Etsy",$J169="Y",$L169="Y",$M169&gt;0),($O169+Settings!$C$21*$M169*(1+Settings!$C$55)+IF(Settings!$C$59="Y",$Q169,0))*$T169/$M169+IF(AND(Settings!$C$58="Y",$T169&gt;=$M169),Settings!$C$22,0),0))</f>
        <v/>
      </c>
      <c r="S169" s="15">
        <f>IF($A169="","",$N169+$O169+$P169+$Q169-$R169)</f>
        <v/>
      </c>
      <c r="T169" s="15">
        <f>IF($A169="","",IF($J169="Y",IF($K169="",$M169,MIN($K169,$M169)),0))</f>
        <v/>
      </c>
      <c r="U169" s="15">
        <f>IF($A169="","",IF($D169="",1,$D169)*IFERROR(INDEX(Products!$F$5:$F$54,MATCH($C169,Products!$A$5:$A$54,0)),0))</f>
        <v/>
      </c>
      <c r="V169" s="27">
        <f>IF($A169="","",$M169-$T169-$S169-$U169-$G169)</f>
        <v/>
      </c>
      <c r="W169" s="31">
        <f>IF($A169="","",IF($M169-$T169&gt;0,$V169/($M169-$T169),""))</f>
        <v/>
      </c>
      <c r="X169" s="35">
        <f>IF($A169="","",DATE(YEAR($A169),MONTH($A169),1))</f>
        <v/>
      </c>
    </row>
    <row r="170">
      <c r="A170" s="18" t="n"/>
      <c r="B170" s="13" t="n"/>
      <c r="C170" s="13" t="n"/>
      <c r="D170" s="26" t="n"/>
      <c r="E170" s="12" t="n"/>
      <c r="F170" s="12" t="n"/>
      <c r="G170" s="12" t="n"/>
      <c r="H170" s="12" t="n"/>
      <c r="I170" s="13" t="n"/>
      <c r="J170" s="13" t="n"/>
      <c r="K170" s="12" t="n"/>
      <c r="L170" s="13" t="n"/>
      <c r="M170" s="15">
        <f>IF($A170="","",IF($D170="",1,$D170)*$E170+$F170-$H170)</f>
        <v/>
      </c>
      <c r="N170" s="15">
        <f>IF($A170="","",IF($B170="Etsy",IF($D170="",1,$D170)*Settings!$C$19,0))</f>
        <v/>
      </c>
      <c r="O170" s="15">
        <f>IF($A170="","",IF($B170="Etsy",Settings!$C$20*($M170+IF(Settings!$C$54="Y",0,$H170)),0))</f>
        <v/>
      </c>
      <c r="P170" s="15">
        <f>IF($A170="","",IF($B170="Etsy",Settings!$C$21*$M170*(1+Settings!$C$55)+Settings!$C$22,IF($B170="Shopify",Settings!$C$14*$M170+Settings!$C$15,0)))</f>
        <v/>
      </c>
      <c r="Q170" s="15">
        <f>IF($A170="","",IF(AND($B170="Etsy",$I170="Y"),MIN(Settings!$C$12*($M170+IF(Settings!$C$54="Y",0,$H170)),Settings!$C$25),0))</f>
        <v/>
      </c>
      <c r="R170" s="15">
        <f>IF($A170="","",IF(AND($B170="Etsy",$J170="Y",$L170="Y",$M170&gt;0),($O170+Settings!$C$21*$M170*(1+Settings!$C$55)+IF(Settings!$C$59="Y",$Q170,0))*$T170/$M170+IF(AND(Settings!$C$58="Y",$T170&gt;=$M170),Settings!$C$22,0),0))</f>
        <v/>
      </c>
      <c r="S170" s="15">
        <f>IF($A170="","",$N170+$O170+$P170+$Q170-$R170)</f>
        <v/>
      </c>
      <c r="T170" s="15">
        <f>IF($A170="","",IF($J170="Y",IF($K170="",$M170,MIN($K170,$M170)),0))</f>
        <v/>
      </c>
      <c r="U170" s="15">
        <f>IF($A170="","",IF($D170="",1,$D170)*IFERROR(INDEX(Products!$F$5:$F$54,MATCH($C170,Products!$A$5:$A$54,0)),0))</f>
        <v/>
      </c>
      <c r="V170" s="27">
        <f>IF($A170="","",$M170-$T170-$S170-$U170-$G170)</f>
        <v/>
      </c>
      <c r="W170" s="31">
        <f>IF($A170="","",IF($M170-$T170&gt;0,$V170/($M170-$T170),""))</f>
        <v/>
      </c>
      <c r="X170" s="35">
        <f>IF($A170="","",DATE(YEAR($A170),MONTH($A170),1))</f>
        <v/>
      </c>
    </row>
    <row r="171">
      <c r="A171" s="18" t="n"/>
      <c r="B171" s="13" t="n"/>
      <c r="C171" s="13" t="n"/>
      <c r="D171" s="26" t="n"/>
      <c r="E171" s="12" t="n"/>
      <c r="F171" s="12" t="n"/>
      <c r="G171" s="12" t="n"/>
      <c r="H171" s="12" t="n"/>
      <c r="I171" s="13" t="n"/>
      <c r="J171" s="13" t="n"/>
      <c r="K171" s="12" t="n"/>
      <c r="L171" s="13" t="n"/>
      <c r="M171" s="15">
        <f>IF($A171="","",IF($D171="",1,$D171)*$E171+$F171-$H171)</f>
        <v/>
      </c>
      <c r="N171" s="15">
        <f>IF($A171="","",IF($B171="Etsy",IF($D171="",1,$D171)*Settings!$C$19,0))</f>
        <v/>
      </c>
      <c r="O171" s="15">
        <f>IF($A171="","",IF($B171="Etsy",Settings!$C$20*($M171+IF(Settings!$C$54="Y",0,$H171)),0))</f>
        <v/>
      </c>
      <c r="P171" s="15">
        <f>IF($A171="","",IF($B171="Etsy",Settings!$C$21*$M171*(1+Settings!$C$55)+Settings!$C$22,IF($B171="Shopify",Settings!$C$14*$M171+Settings!$C$15,0)))</f>
        <v/>
      </c>
      <c r="Q171" s="15">
        <f>IF($A171="","",IF(AND($B171="Etsy",$I171="Y"),MIN(Settings!$C$12*($M171+IF(Settings!$C$54="Y",0,$H171)),Settings!$C$25),0))</f>
        <v/>
      </c>
      <c r="R171" s="15">
        <f>IF($A171="","",IF(AND($B171="Etsy",$J171="Y",$L171="Y",$M171&gt;0),($O171+Settings!$C$21*$M171*(1+Settings!$C$55)+IF(Settings!$C$59="Y",$Q171,0))*$T171/$M171+IF(AND(Settings!$C$58="Y",$T171&gt;=$M171),Settings!$C$22,0),0))</f>
        <v/>
      </c>
      <c r="S171" s="15">
        <f>IF($A171="","",$N171+$O171+$P171+$Q171-$R171)</f>
        <v/>
      </c>
      <c r="T171" s="15">
        <f>IF($A171="","",IF($J171="Y",IF($K171="",$M171,MIN($K171,$M171)),0))</f>
        <v/>
      </c>
      <c r="U171" s="15">
        <f>IF($A171="","",IF($D171="",1,$D171)*IFERROR(INDEX(Products!$F$5:$F$54,MATCH($C171,Products!$A$5:$A$54,0)),0))</f>
        <v/>
      </c>
      <c r="V171" s="27">
        <f>IF($A171="","",$M171-$T171-$S171-$U171-$G171)</f>
        <v/>
      </c>
      <c r="W171" s="31">
        <f>IF($A171="","",IF($M171-$T171&gt;0,$V171/($M171-$T171),""))</f>
        <v/>
      </c>
      <c r="X171" s="35">
        <f>IF($A171="","",DATE(YEAR($A171),MONTH($A171),1))</f>
        <v/>
      </c>
    </row>
    <row r="172">
      <c r="A172" s="18" t="n"/>
      <c r="B172" s="13" t="n"/>
      <c r="C172" s="13" t="n"/>
      <c r="D172" s="26" t="n"/>
      <c r="E172" s="12" t="n"/>
      <c r="F172" s="12" t="n"/>
      <c r="G172" s="12" t="n"/>
      <c r="H172" s="12" t="n"/>
      <c r="I172" s="13" t="n"/>
      <c r="J172" s="13" t="n"/>
      <c r="K172" s="12" t="n"/>
      <c r="L172" s="13" t="n"/>
      <c r="M172" s="15">
        <f>IF($A172="","",IF($D172="",1,$D172)*$E172+$F172-$H172)</f>
        <v/>
      </c>
      <c r="N172" s="15">
        <f>IF($A172="","",IF($B172="Etsy",IF($D172="",1,$D172)*Settings!$C$19,0))</f>
        <v/>
      </c>
      <c r="O172" s="15">
        <f>IF($A172="","",IF($B172="Etsy",Settings!$C$20*($M172+IF(Settings!$C$54="Y",0,$H172)),0))</f>
        <v/>
      </c>
      <c r="P172" s="15">
        <f>IF($A172="","",IF($B172="Etsy",Settings!$C$21*$M172*(1+Settings!$C$55)+Settings!$C$22,IF($B172="Shopify",Settings!$C$14*$M172+Settings!$C$15,0)))</f>
        <v/>
      </c>
      <c r="Q172" s="15">
        <f>IF($A172="","",IF(AND($B172="Etsy",$I172="Y"),MIN(Settings!$C$12*($M172+IF(Settings!$C$54="Y",0,$H172)),Settings!$C$25),0))</f>
        <v/>
      </c>
      <c r="R172" s="15">
        <f>IF($A172="","",IF(AND($B172="Etsy",$J172="Y",$L172="Y",$M172&gt;0),($O172+Settings!$C$21*$M172*(1+Settings!$C$55)+IF(Settings!$C$59="Y",$Q172,0))*$T172/$M172+IF(AND(Settings!$C$58="Y",$T172&gt;=$M172),Settings!$C$22,0),0))</f>
        <v/>
      </c>
      <c r="S172" s="15">
        <f>IF($A172="","",$N172+$O172+$P172+$Q172-$R172)</f>
        <v/>
      </c>
      <c r="T172" s="15">
        <f>IF($A172="","",IF($J172="Y",IF($K172="",$M172,MIN($K172,$M172)),0))</f>
        <v/>
      </c>
      <c r="U172" s="15">
        <f>IF($A172="","",IF($D172="",1,$D172)*IFERROR(INDEX(Products!$F$5:$F$54,MATCH($C172,Products!$A$5:$A$54,0)),0))</f>
        <v/>
      </c>
      <c r="V172" s="27">
        <f>IF($A172="","",$M172-$T172-$S172-$U172-$G172)</f>
        <v/>
      </c>
      <c r="W172" s="31">
        <f>IF($A172="","",IF($M172-$T172&gt;0,$V172/($M172-$T172),""))</f>
        <v/>
      </c>
      <c r="X172" s="35">
        <f>IF($A172="","",DATE(YEAR($A172),MONTH($A172),1))</f>
        <v/>
      </c>
    </row>
    <row r="173">
      <c r="A173" s="18" t="n"/>
      <c r="B173" s="13" t="n"/>
      <c r="C173" s="13" t="n"/>
      <c r="D173" s="26" t="n"/>
      <c r="E173" s="12" t="n"/>
      <c r="F173" s="12" t="n"/>
      <c r="G173" s="12" t="n"/>
      <c r="H173" s="12" t="n"/>
      <c r="I173" s="13" t="n"/>
      <c r="J173" s="13" t="n"/>
      <c r="K173" s="12" t="n"/>
      <c r="L173" s="13" t="n"/>
      <c r="M173" s="15">
        <f>IF($A173="","",IF($D173="",1,$D173)*$E173+$F173-$H173)</f>
        <v/>
      </c>
      <c r="N173" s="15">
        <f>IF($A173="","",IF($B173="Etsy",IF($D173="",1,$D173)*Settings!$C$19,0))</f>
        <v/>
      </c>
      <c r="O173" s="15">
        <f>IF($A173="","",IF($B173="Etsy",Settings!$C$20*($M173+IF(Settings!$C$54="Y",0,$H173)),0))</f>
        <v/>
      </c>
      <c r="P173" s="15">
        <f>IF($A173="","",IF($B173="Etsy",Settings!$C$21*$M173*(1+Settings!$C$55)+Settings!$C$22,IF($B173="Shopify",Settings!$C$14*$M173+Settings!$C$15,0)))</f>
        <v/>
      </c>
      <c r="Q173" s="15">
        <f>IF($A173="","",IF(AND($B173="Etsy",$I173="Y"),MIN(Settings!$C$12*($M173+IF(Settings!$C$54="Y",0,$H173)),Settings!$C$25),0))</f>
        <v/>
      </c>
      <c r="R173" s="15">
        <f>IF($A173="","",IF(AND($B173="Etsy",$J173="Y",$L173="Y",$M173&gt;0),($O173+Settings!$C$21*$M173*(1+Settings!$C$55)+IF(Settings!$C$59="Y",$Q173,0))*$T173/$M173+IF(AND(Settings!$C$58="Y",$T173&gt;=$M173),Settings!$C$22,0),0))</f>
        <v/>
      </c>
      <c r="S173" s="15">
        <f>IF($A173="","",$N173+$O173+$P173+$Q173-$R173)</f>
        <v/>
      </c>
      <c r="T173" s="15">
        <f>IF($A173="","",IF($J173="Y",IF($K173="",$M173,MIN($K173,$M173)),0))</f>
        <v/>
      </c>
      <c r="U173" s="15">
        <f>IF($A173="","",IF($D173="",1,$D173)*IFERROR(INDEX(Products!$F$5:$F$54,MATCH($C173,Products!$A$5:$A$54,0)),0))</f>
        <v/>
      </c>
      <c r="V173" s="27">
        <f>IF($A173="","",$M173-$T173-$S173-$U173-$G173)</f>
        <v/>
      </c>
      <c r="W173" s="31">
        <f>IF($A173="","",IF($M173-$T173&gt;0,$V173/($M173-$T173),""))</f>
        <v/>
      </c>
      <c r="X173" s="35">
        <f>IF($A173="","",DATE(YEAR($A173),MONTH($A173),1))</f>
        <v/>
      </c>
    </row>
    <row r="174">
      <c r="A174" s="18" t="n"/>
      <c r="B174" s="13" t="n"/>
      <c r="C174" s="13" t="n"/>
      <c r="D174" s="26" t="n"/>
      <c r="E174" s="12" t="n"/>
      <c r="F174" s="12" t="n"/>
      <c r="G174" s="12" t="n"/>
      <c r="H174" s="12" t="n"/>
      <c r="I174" s="13" t="n"/>
      <c r="J174" s="13" t="n"/>
      <c r="K174" s="12" t="n"/>
      <c r="L174" s="13" t="n"/>
      <c r="M174" s="15">
        <f>IF($A174="","",IF($D174="",1,$D174)*$E174+$F174-$H174)</f>
        <v/>
      </c>
      <c r="N174" s="15">
        <f>IF($A174="","",IF($B174="Etsy",IF($D174="",1,$D174)*Settings!$C$19,0))</f>
        <v/>
      </c>
      <c r="O174" s="15">
        <f>IF($A174="","",IF($B174="Etsy",Settings!$C$20*($M174+IF(Settings!$C$54="Y",0,$H174)),0))</f>
        <v/>
      </c>
      <c r="P174" s="15">
        <f>IF($A174="","",IF($B174="Etsy",Settings!$C$21*$M174*(1+Settings!$C$55)+Settings!$C$22,IF($B174="Shopify",Settings!$C$14*$M174+Settings!$C$15,0)))</f>
        <v/>
      </c>
      <c r="Q174" s="15">
        <f>IF($A174="","",IF(AND($B174="Etsy",$I174="Y"),MIN(Settings!$C$12*($M174+IF(Settings!$C$54="Y",0,$H174)),Settings!$C$25),0))</f>
        <v/>
      </c>
      <c r="R174" s="15">
        <f>IF($A174="","",IF(AND($B174="Etsy",$J174="Y",$L174="Y",$M174&gt;0),($O174+Settings!$C$21*$M174*(1+Settings!$C$55)+IF(Settings!$C$59="Y",$Q174,0))*$T174/$M174+IF(AND(Settings!$C$58="Y",$T174&gt;=$M174),Settings!$C$22,0),0))</f>
        <v/>
      </c>
      <c r="S174" s="15">
        <f>IF($A174="","",$N174+$O174+$P174+$Q174-$R174)</f>
        <v/>
      </c>
      <c r="T174" s="15">
        <f>IF($A174="","",IF($J174="Y",IF($K174="",$M174,MIN($K174,$M174)),0))</f>
        <v/>
      </c>
      <c r="U174" s="15">
        <f>IF($A174="","",IF($D174="",1,$D174)*IFERROR(INDEX(Products!$F$5:$F$54,MATCH($C174,Products!$A$5:$A$54,0)),0))</f>
        <v/>
      </c>
      <c r="V174" s="27">
        <f>IF($A174="","",$M174-$T174-$S174-$U174-$G174)</f>
        <v/>
      </c>
      <c r="W174" s="31">
        <f>IF($A174="","",IF($M174-$T174&gt;0,$V174/($M174-$T174),""))</f>
        <v/>
      </c>
      <c r="X174" s="35">
        <f>IF($A174="","",DATE(YEAR($A174),MONTH($A174),1))</f>
        <v/>
      </c>
    </row>
    <row r="175">
      <c r="A175" s="18" t="n"/>
      <c r="B175" s="13" t="n"/>
      <c r="C175" s="13" t="n"/>
      <c r="D175" s="26" t="n"/>
      <c r="E175" s="12" t="n"/>
      <c r="F175" s="12" t="n"/>
      <c r="G175" s="12" t="n"/>
      <c r="H175" s="12" t="n"/>
      <c r="I175" s="13" t="n"/>
      <c r="J175" s="13" t="n"/>
      <c r="K175" s="12" t="n"/>
      <c r="L175" s="13" t="n"/>
      <c r="M175" s="15">
        <f>IF($A175="","",IF($D175="",1,$D175)*$E175+$F175-$H175)</f>
        <v/>
      </c>
      <c r="N175" s="15">
        <f>IF($A175="","",IF($B175="Etsy",IF($D175="",1,$D175)*Settings!$C$19,0))</f>
        <v/>
      </c>
      <c r="O175" s="15">
        <f>IF($A175="","",IF($B175="Etsy",Settings!$C$20*($M175+IF(Settings!$C$54="Y",0,$H175)),0))</f>
        <v/>
      </c>
      <c r="P175" s="15">
        <f>IF($A175="","",IF($B175="Etsy",Settings!$C$21*$M175*(1+Settings!$C$55)+Settings!$C$22,IF($B175="Shopify",Settings!$C$14*$M175+Settings!$C$15,0)))</f>
        <v/>
      </c>
      <c r="Q175" s="15">
        <f>IF($A175="","",IF(AND($B175="Etsy",$I175="Y"),MIN(Settings!$C$12*($M175+IF(Settings!$C$54="Y",0,$H175)),Settings!$C$25),0))</f>
        <v/>
      </c>
      <c r="R175" s="15">
        <f>IF($A175="","",IF(AND($B175="Etsy",$J175="Y",$L175="Y",$M175&gt;0),($O175+Settings!$C$21*$M175*(1+Settings!$C$55)+IF(Settings!$C$59="Y",$Q175,0))*$T175/$M175+IF(AND(Settings!$C$58="Y",$T175&gt;=$M175),Settings!$C$22,0),0))</f>
        <v/>
      </c>
      <c r="S175" s="15">
        <f>IF($A175="","",$N175+$O175+$P175+$Q175-$R175)</f>
        <v/>
      </c>
      <c r="T175" s="15">
        <f>IF($A175="","",IF($J175="Y",IF($K175="",$M175,MIN($K175,$M175)),0))</f>
        <v/>
      </c>
      <c r="U175" s="15">
        <f>IF($A175="","",IF($D175="",1,$D175)*IFERROR(INDEX(Products!$F$5:$F$54,MATCH($C175,Products!$A$5:$A$54,0)),0))</f>
        <v/>
      </c>
      <c r="V175" s="27">
        <f>IF($A175="","",$M175-$T175-$S175-$U175-$G175)</f>
        <v/>
      </c>
      <c r="W175" s="31">
        <f>IF($A175="","",IF($M175-$T175&gt;0,$V175/($M175-$T175),""))</f>
        <v/>
      </c>
      <c r="X175" s="35">
        <f>IF($A175="","",DATE(YEAR($A175),MONTH($A175),1))</f>
        <v/>
      </c>
    </row>
    <row r="176">
      <c r="A176" s="18" t="n"/>
      <c r="B176" s="13" t="n"/>
      <c r="C176" s="13" t="n"/>
      <c r="D176" s="26" t="n"/>
      <c r="E176" s="12" t="n"/>
      <c r="F176" s="12" t="n"/>
      <c r="G176" s="12" t="n"/>
      <c r="H176" s="12" t="n"/>
      <c r="I176" s="13" t="n"/>
      <c r="J176" s="13" t="n"/>
      <c r="K176" s="12" t="n"/>
      <c r="L176" s="13" t="n"/>
      <c r="M176" s="15">
        <f>IF($A176="","",IF($D176="",1,$D176)*$E176+$F176-$H176)</f>
        <v/>
      </c>
      <c r="N176" s="15">
        <f>IF($A176="","",IF($B176="Etsy",IF($D176="",1,$D176)*Settings!$C$19,0))</f>
        <v/>
      </c>
      <c r="O176" s="15">
        <f>IF($A176="","",IF($B176="Etsy",Settings!$C$20*($M176+IF(Settings!$C$54="Y",0,$H176)),0))</f>
        <v/>
      </c>
      <c r="P176" s="15">
        <f>IF($A176="","",IF($B176="Etsy",Settings!$C$21*$M176*(1+Settings!$C$55)+Settings!$C$22,IF($B176="Shopify",Settings!$C$14*$M176+Settings!$C$15,0)))</f>
        <v/>
      </c>
      <c r="Q176" s="15">
        <f>IF($A176="","",IF(AND($B176="Etsy",$I176="Y"),MIN(Settings!$C$12*($M176+IF(Settings!$C$54="Y",0,$H176)),Settings!$C$25),0))</f>
        <v/>
      </c>
      <c r="R176" s="15">
        <f>IF($A176="","",IF(AND($B176="Etsy",$J176="Y",$L176="Y",$M176&gt;0),($O176+Settings!$C$21*$M176*(1+Settings!$C$55)+IF(Settings!$C$59="Y",$Q176,0))*$T176/$M176+IF(AND(Settings!$C$58="Y",$T176&gt;=$M176),Settings!$C$22,0),0))</f>
        <v/>
      </c>
      <c r="S176" s="15">
        <f>IF($A176="","",$N176+$O176+$P176+$Q176-$R176)</f>
        <v/>
      </c>
      <c r="T176" s="15">
        <f>IF($A176="","",IF($J176="Y",IF($K176="",$M176,MIN($K176,$M176)),0))</f>
        <v/>
      </c>
      <c r="U176" s="15">
        <f>IF($A176="","",IF($D176="",1,$D176)*IFERROR(INDEX(Products!$F$5:$F$54,MATCH($C176,Products!$A$5:$A$54,0)),0))</f>
        <v/>
      </c>
      <c r="V176" s="27">
        <f>IF($A176="","",$M176-$T176-$S176-$U176-$G176)</f>
        <v/>
      </c>
      <c r="W176" s="31">
        <f>IF($A176="","",IF($M176-$T176&gt;0,$V176/($M176-$T176),""))</f>
        <v/>
      </c>
      <c r="X176" s="35">
        <f>IF($A176="","",DATE(YEAR($A176),MONTH($A176),1))</f>
        <v/>
      </c>
    </row>
    <row r="177">
      <c r="A177" s="18" t="n"/>
      <c r="B177" s="13" t="n"/>
      <c r="C177" s="13" t="n"/>
      <c r="D177" s="26" t="n"/>
      <c r="E177" s="12" t="n"/>
      <c r="F177" s="12" t="n"/>
      <c r="G177" s="12" t="n"/>
      <c r="H177" s="12" t="n"/>
      <c r="I177" s="13" t="n"/>
      <c r="J177" s="13" t="n"/>
      <c r="K177" s="12" t="n"/>
      <c r="L177" s="13" t="n"/>
      <c r="M177" s="15">
        <f>IF($A177="","",IF($D177="",1,$D177)*$E177+$F177-$H177)</f>
        <v/>
      </c>
      <c r="N177" s="15">
        <f>IF($A177="","",IF($B177="Etsy",IF($D177="",1,$D177)*Settings!$C$19,0))</f>
        <v/>
      </c>
      <c r="O177" s="15">
        <f>IF($A177="","",IF($B177="Etsy",Settings!$C$20*($M177+IF(Settings!$C$54="Y",0,$H177)),0))</f>
        <v/>
      </c>
      <c r="P177" s="15">
        <f>IF($A177="","",IF($B177="Etsy",Settings!$C$21*$M177*(1+Settings!$C$55)+Settings!$C$22,IF($B177="Shopify",Settings!$C$14*$M177+Settings!$C$15,0)))</f>
        <v/>
      </c>
      <c r="Q177" s="15">
        <f>IF($A177="","",IF(AND($B177="Etsy",$I177="Y"),MIN(Settings!$C$12*($M177+IF(Settings!$C$54="Y",0,$H177)),Settings!$C$25),0))</f>
        <v/>
      </c>
      <c r="R177" s="15">
        <f>IF($A177="","",IF(AND($B177="Etsy",$J177="Y",$L177="Y",$M177&gt;0),($O177+Settings!$C$21*$M177*(1+Settings!$C$55)+IF(Settings!$C$59="Y",$Q177,0))*$T177/$M177+IF(AND(Settings!$C$58="Y",$T177&gt;=$M177),Settings!$C$22,0),0))</f>
        <v/>
      </c>
      <c r="S177" s="15">
        <f>IF($A177="","",$N177+$O177+$P177+$Q177-$R177)</f>
        <v/>
      </c>
      <c r="T177" s="15">
        <f>IF($A177="","",IF($J177="Y",IF($K177="",$M177,MIN($K177,$M177)),0))</f>
        <v/>
      </c>
      <c r="U177" s="15">
        <f>IF($A177="","",IF($D177="",1,$D177)*IFERROR(INDEX(Products!$F$5:$F$54,MATCH($C177,Products!$A$5:$A$54,0)),0))</f>
        <v/>
      </c>
      <c r="V177" s="27">
        <f>IF($A177="","",$M177-$T177-$S177-$U177-$G177)</f>
        <v/>
      </c>
      <c r="W177" s="31">
        <f>IF($A177="","",IF($M177-$T177&gt;0,$V177/($M177-$T177),""))</f>
        <v/>
      </c>
      <c r="X177" s="35">
        <f>IF($A177="","",DATE(YEAR($A177),MONTH($A177),1))</f>
        <v/>
      </c>
    </row>
    <row r="178">
      <c r="A178" s="18" t="n"/>
      <c r="B178" s="13" t="n"/>
      <c r="C178" s="13" t="n"/>
      <c r="D178" s="26" t="n"/>
      <c r="E178" s="12" t="n"/>
      <c r="F178" s="12" t="n"/>
      <c r="G178" s="12" t="n"/>
      <c r="H178" s="12" t="n"/>
      <c r="I178" s="13" t="n"/>
      <c r="J178" s="13" t="n"/>
      <c r="K178" s="12" t="n"/>
      <c r="L178" s="13" t="n"/>
      <c r="M178" s="15">
        <f>IF($A178="","",IF($D178="",1,$D178)*$E178+$F178-$H178)</f>
        <v/>
      </c>
      <c r="N178" s="15">
        <f>IF($A178="","",IF($B178="Etsy",IF($D178="",1,$D178)*Settings!$C$19,0))</f>
        <v/>
      </c>
      <c r="O178" s="15">
        <f>IF($A178="","",IF($B178="Etsy",Settings!$C$20*($M178+IF(Settings!$C$54="Y",0,$H178)),0))</f>
        <v/>
      </c>
      <c r="P178" s="15">
        <f>IF($A178="","",IF($B178="Etsy",Settings!$C$21*$M178*(1+Settings!$C$55)+Settings!$C$22,IF($B178="Shopify",Settings!$C$14*$M178+Settings!$C$15,0)))</f>
        <v/>
      </c>
      <c r="Q178" s="15">
        <f>IF($A178="","",IF(AND($B178="Etsy",$I178="Y"),MIN(Settings!$C$12*($M178+IF(Settings!$C$54="Y",0,$H178)),Settings!$C$25),0))</f>
        <v/>
      </c>
      <c r="R178" s="15">
        <f>IF($A178="","",IF(AND($B178="Etsy",$J178="Y",$L178="Y",$M178&gt;0),($O178+Settings!$C$21*$M178*(1+Settings!$C$55)+IF(Settings!$C$59="Y",$Q178,0))*$T178/$M178+IF(AND(Settings!$C$58="Y",$T178&gt;=$M178),Settings!$C$22,0),0))</f>
        <v/>
      </c>
      <c r="S178" s="15">
        <f>IF($A178="","",$N178+$O178+$P178+$Q178-$R178)</f>
        <v/>
      </c>
      <c r="T178" s="15">
        <f>IF($A178="","",IF($J178="Y",IF($K178="",$M178,MIN($K178,$M178)),0))</f>
        <v/>
      </c>
      <c r="U178" s="15">
        <f>IF($A178="","",IF($D178="",1,$D178)*IFERROR(INDEX(Products!$F$5:$F$54,MATCH($C178,Products!$A$5:$A$54,0)),0))</f>
        <v/>
      </c>
      <c r="V178" s="27">
        <f>IF($A178="","",$M178-$T178-$S178-$U178-$G178)</f>
        <v/>
      </c>
      <c r="W178" s="31">
        <f>IF($A178="","",IF($M178-$T178&gt;0,$V178/($M178-$T178),""))</f>
        <v/>
      </c>
      <c r="X178" s="35">
        <f>IF($A178="","",DATE(YEAR($A178),MONTH($A178),1))</f>
        <v/>
      </c>
    </row>
    <row r="179">
      <c r="A179" s="18" t="n"/>
      <c r="B179" s="13" t="n"/>
      <c r="C179" s="13" t="n"/>
      <c r="D179" s="26" t="n"/>
      <c r="E179" s="12" t="n"/>
      <c r="F179" s="12" t="n"/>
      <c r="G179" s="12" t="n"/>
      <c r="H179" s="12" t="n"/>
      <c r="I179" s="13" t="n"/>
      <c r="J179" s="13" t="n"/>
      <c r="K179" s="12" t="n"/>
      <c r="L179" s="13" t="n"/>
      <c r="M179" s="15">
        <f>IF($A179="","",IF($D179="",1,$D179)*$E179+$F179-$H179)</f>
        <v/>
      </c>
      <c r="N179" s="15">
        <f>IF($A179="","",IF($B179="Etsy",IF($D179="",1,$D179)*Settings!$C$19,0))</f>
        <v/>
      </c>
      <c r="O179" s="15">
        <f>IF($A179="","",IF($B179="Etsy",Settings!$C$20*($M179+IF(Settings!$C$54="Y",0,$H179)),0))</f>
        <v/>
      </c>
      <c r="P179" s="15">
        <f>IF($A179="","",IF($B179="Etsy",Settings!$C$21*$M179*(1+Settings!$C$55)+Settings!$C$22,IF($B179="Shopify",Settings!$C$14*$M179+Settings!$C$15,0)))</f>
        <v/>
      </c>
      <c r="Q179" s="15">
        <f>IF($A179="","",IF(AND($B179="Etsy",$I179="Y"),MIN(Settings!$C$12*($M179+IF(Settings!$C$54="Y",0,$H179)),Settings!$C$25),0))</f>
        <v/>
      </c>
      <c r="R179" s="15">
        <f>IF($A179="","",IF(AND($B179="Etsy",$J179="Y",$L179="Y",$M179&gt;0),($O179+Settings!$C$21*$M179*(1+Settings!$C$55)+IF(Settings!$C$59="Y",$Q179,0))*$T179/$M179+IF(AND(Settings!$C$58="Y",$T179&gt;=$M179),Settings!$C$22,0),0))</f>
        <v/>
      </c>
      <c r="S179" s="15">
        <f>IF($A179="","",$N179+$O179+$P179+$Q179-$R179)</f>
        <v/>
      </c>
      <c r="T179" s="15">
        <f>IF($A179="","",IF($J179="Y",IF($K179="",$M179,MIN($K179,$M179)),0))</f>
        <v/>
      </c>
      <c r="U179" s="15">
        <f>IF($A179="","",IF($D179="",1,$D179)*IFERROR(INDEX(Products!$F$5:$F$54,MATCH($C179,Products!$A$5:$A$54,0)),0))</f>
        <v/>
      </c>
      <c r="V179" s="27">
        <f>IF($A179="","",$M179-$T179-$S179-$U179-$G179)</f>
        <v/>
      </c>
      <c r="W179" s="31">
        <f>IF($A179="","",IF($M179-$T179&gt;0,$V179/($M179-$T179),""))</f>
        <v/>
      </c>
      <c r="X179" s="35">
        <f>IF($A179="","",DATE(YEAR($A179),MONTH($A179),1))</f>
        <v/>
      </c>
    </row>
    <row r="180">
      <c r="A180" s="18" t="n"/>
      <c r="B180" s="13" t="n"/>
      <c r="C180" s="13" t="n"/>
      <c r="D180" s="26" t="n"/>
      <c r="E180" s="12" t="n"/>
      <c r="F180" s="12" t="n"/>
      <c r="G180" s="12" t="n"/>
      <c r="H180" s="12" t="n"/>
      <c r="I180" s="13" t="n"/>
      <c r="J180" s="13" t="n"/>
      <c r="K180" s="12" t="n"/>
      <c r="L180" s="13" t="n"/>
      <c r="M180" s="15">
        <f>IF($A180="","",IF($D180="",1,$D180)*$E180+$F180-$H180)</f>
        <v/>
      </c>
      <c r="N180" s="15">
        <f>IF($A180="","",IF($B180="Etsy",IF($D180="",1,$D180)*Settings!$C$19,0))</f>
        <v/>
      </c>
      <c r="O180" s="15">
        <f>IF($A180="","",IF($B180="Etsy",Settings!$C$20*($M180+IF(Settings!$C$54="Y",0,$H180)),0))</f>
        <v/>
      </c>
      <c r="P180" s="15">
        <f>IF($A180="","",IF($B180="Etsy",Settings!$C$21*$M180*(1+Settings!$C$55)+Settings!$C$22,IF($B180="Shopify",Settings!$C$14*$M180+Settings!$C$15,0)))</f>
        <v/>
      </c>
      <c r="Q180" s="15">
        <f>IF($A180="","",IF(AND($B180="Etsy",$I180="Y"),MIN(Settings!$C$12*($M180+IF(Settings!$C$54="Y",0,$H180)),Settings!$C$25),0))</f>
        <v/>
      </c>
      <c r="R180" s="15">
        <f>IF($A180="","",IF(AND($B180="Etsy",$J180="Y",$L180="Y",$M180&gt;0),($O180+Settings!$C$21*$M180*(1+Settings!$C$55)+IF(Settings!$C$59="Y",$Q180,0))*$T180/$M180+IF(AND(Settings!$C$58="Y",$T180&gt;=$M180),Settings!$C$22,0),0))</f>
        <v/>
      </c>
      <c r="S180" s="15">
        <f>IF($A180="","",$N180+$O180+$P180+$Q180-$R180)</f>
        <v/>
      </c>
      <c r="T180" s="15">
        <f>IF($A180="","",IF($J180="Y",IF($K180="",$M180,MIN($K180,$M180)),0))</f>
        <v/>
      </c>
      <c r="U180" s="15">
        <f>IF($A180="","",IF($D180="",1,$D180)*IFERROR(INDEX(Products!$F$5:$F$54,MATCH($C180,Products!$A$5:$A$54,0)),0))</f>
        <v/>
      </c>
      <c r="V180" s="27">
        <f>IF($A180="","",$M180-$T180-$S180-$U180-$G180)</f>
        <v/>
      </c>
      <c r="W180" s="31">
        <f>IF($A180="","",IF($M180-$T180&gt;0,$V180/($M180-$T180),""))</f>
        <v/>
      </c>
      <c r="X180" s="35">
        <f>IF($A180="","",DATE(YEAR($A180),MONTH($A180),1))</f>
        <v/>
      </c>
    </row>
    <row r="181">
      <c r="A181" s="18" t="n"/>
      <c r="B181" s="13" t="n"/>
      <c r="C181" s="13" t="n"/>
      <c r="D181" s="26" t="n"/>
      <c r="E181" s="12" t="n"/>
      <c r="F181" s="12" t="n"/>
      <c r="G181" s="12" t="n"/>
      <c r="H181" s="12" t="n"/>
      <c r="I181" s="13" t="n"/>
      <c r="J181" s="13" t="n"/>
      <c r="K181" s="12" t="n"/>
      <c r="L181" s="13" t="n"/>
      <c r="M181" s="15">
        <f>IF($A181="","",IF($D181="",1,$D181)*$E181+$F181-$H181)</f>
        <v/>
      </c>
      <c r="N181" s="15">
        <f>IF($A181="","",IF($B181="Etsy",IF($D181="",1,$D181)*Settings!$C$19,0))</f>
        <v/>
      </c>
      <c r="O181" s="15">
        <f>IF($A181="","",IF($B181="Etsy",Settings!$C$20*($M181+IF(Settings!$C$54="Y",0,$H181)),0))</f>
        <v/>
      </c>
      <c r="P181" s="15">
        <f>IF($A181="","",IF($B181="Etsy",Settings!$C$21*$M181*(1+Settings!$C$55)+Settings!$C$22,IF($B181="Shopify",Settings!$C$14*$M181+Settings!$C$15,0)))</f>
        <v/>
      </c>
      <c r="Q181" s="15">
        <f>IF($A181="","",IF(AND($B181="Etsy",$I181="Y"),MIN(Settings!$C$12*($M181+IF(Settings!$C$54="Y",0,$H181)),Settings!$C$25),0))</f>
        <v/>
      </c>
      <c r="R181" s="15">
        <f>IF($A181="","",IF(AND($B181="Etsy",$J181="Y",$L181="Y",$M181&gt;0),($O181+Settings!$C$21*$M181*(1+Settings!$C$55)+IF(Settings!$C$59="Y",$Q181,0))*$T181/$M181+IF(AND(Settings!$C$58="Y",$T181&gt;=$M181),Settings!$C$22,0),0))</f>
        <v/>
      </c>
      <c r="S181" s="15">
        <f>IF($A181="","",$N181+$O181+$P181+$Q181-$R181)</f>
        <v/>
      </c>
      <c r="T181" s="15">
        <f>IF($A181="","",IF($J181="Y",IF($K181="",$M181,MIN($K181,$M181)),0))</f>
        <v/>
      </c>
      <c r="U181" s="15">
        <f>IF($A181="","",IF($D181="",1,$D181)*IFERROR(INDEX(Products!$F$5:$F$54,MATCH($C181,Products!$A$5:$A$54,0)),0))</f>
        <v/>
      </c>
      <c r="V181" s="27">
        <f>IF($A181="","",$M181-$T181-$S181-$U181-$G181)</f>
        <v/>
      </c>
      <c r="W181" s="31">
        <f>IF($A181="","",IF($M181-$T181&gt;0,$V181/($M181-$T181),""))</f>
        <v/>
      </c>
      <c r="X181" s="35">
        <f>IF($A181="","",DATE(YEAR($A181),MONTH($A181),1))</f>
        <v/>
      </c>
    </row>
    <row r="182">
      <c r="A182" s="18" t="n"/>
      <c r="B182" s="13" t="n"/>
      <c r="C182" s="13" t="n"/>
      <c r="D182" s="26" t="n"/>
      <c r="E182" s="12" t="n"/>
      <c r="F182" s="12" t="n"/>
      <c r="G182" s="12" t="n"/>
      <c r="H182" s="12" t="n"/>
      <c r="I182" s="13" t="n"/>
      <c r="J182" s="13" t="n"/>
      <c r="K182" s="12" t="n"/>
      <c r="L182" s="13" t="n"/>
      <c r="M182" s="15">
        <f>IF($A182="","",IF($D182="",1,$D182)*$E182+$F182-$H182)</f>
        <v/>
      </c>
      <c r="N182" s="15">
        <f>IF($A182="","",IF($B182="Etsy",IF($D182="",1,$D182)*Settings!$C$19,0))</f>
        <v/>
      </c>
      <c r="O182" s="15">
        <f>IF($A182="","",IF($B182="Etsy",Settings!$C$20*($M182+IF(Settings!$C$54="Y",0,$H182)),0))</f>
        <v/>
      </c>
      <c r="P182" s="15">
        <f>IF($A182="","",IF($B182="Etsy",Settings!$C$21*$M182*(1+Settings!$C$55)+Settings!$C$22,IF($B182="Shopify",Settings!$C$14*$M182+Settings!$C$15,0)))</f>
        <v/>
      </c>
      <c r="Q182" s="15">
        <f>IF($A182="","",IF(AND($B182="Etsy",$I182="Y"),MIN(Settings!$C$12*($M182+IF(Settings!$C$54="Y",0,$H182)),Settings!$C$25),0))</f>
        <v/>
      </c>
      <c r="R182" s="15">
        <f>IF($A182="","",IF(AND($B182="Etsy",$J182="Y",$L182="Y",$M182&gt;0),($O182+Settings!$C$21*$M182*(1+Settings!$C$55)+IF(Settings!$C$59="Y",$Q182,0))*$T182/$M182+IF(AND(Settings!$C$58="Y",$T182&gt;=$M182),Settings!$C$22,0),0))</f>
        <v/>
      </c>
      <c r="S182" s="15">
        <f>IF($A182="","",$N182+$O182+$P182+$Q182-$R182)</f>
        <v/>
      </c>
      <c r="T182" s="15">
        <f>IF($A182="","",IF($J182="Y",IF($K182="",$M182,MIN($K182,$M182)),0))</f>
        <v/>
      </c>
      <c r="U182" s="15">
        <f>IF($A182="","",IF($D182="",1,$D182)*IFERROR(INDEX(Products!$F$5:$F$54,MATCH($C182,Products!$A$5:$A$54,0)),0))</f>
        <v/>
      </c>
      <c r="V182" s="27">
        <f>IF($A182="","",$M182-$T182-$S182-$U182-$G182)</f>
        <v/>
      </c>
      <c r="W182" s="31">
        <f>IF($A182="","",IF($M182-$T182&gt;0,$V182/($M182-$T182),""))</f>
        <v/>
      </c>
      <c r="X182" s="35">
        <f>IF($A182="","",DATE(YEAR($A182),MONTH($A182),1))</f>
        <v/>
      </c>
    </row>
    <row r="183">
      <c r="A183" s="18" t="n"/>
      <c r="B183" s="13" t="n"/>
      <c r="C183" s="13" t="n"/>
      <c r="D183" s="26" t="n"/>
      <c r="E183" s="12" t="n"/>
      <c r="F183" s="12" t="n"/>
      <c r="G183" s="12" t="n"/>
      <c r="H183" s="12" t="n"/>
      <c r="I183" s="13" t="n"/>
      <c r="J183" s="13" t="n"/>
      <c r="K183" s="12" t="n"/>
      <c r="L183" s="13" t="n"/>
      <c r="M183" s="15">
        <f>IF($A183="","",IF($D183="",1,$D183)*$E183+$F183-$H183)</f>
        <v/>
      </c>
      <c r="N183" s="15">
        <f>IF($A183="","",IF($B183="Etsy",IF($D183="",1,$D183)*Settings!$C$19,0))</f>
        <v/>
      </c>
      <c r="O183" s="15">
        <f>IF($A183="","",IF($B183="Etsy",Settings!$C$20*($M183+IF(Settings!$C$54="Y",0,$H183)),0))</f>
        <v/>
      </c>
      <c r="P183" s="15">
        <f>IF($A183="","",IF($B183="Etsy",Settings!$C$21*$M183*(1+Settings!$C$55)+Settings!$C$22,IF($B183="Shopify",Settings!$C$14*$M183+Settings!$C$15,0)))</f>
        <v/>
      </c>
      <c r="Q183" s="15">
        <f>IF($A183="","",IF(AND($B183="Etsy",$I183="Y"),MIN(Settings!$C$12*($M183+IF(Settings!$C$54="Y",0,$H183)),Settings!$C$25),0))</f>
        <v/>
      </c>
      <c r="R183" s="15">
        <f>IF($A183="","",IF(AND($B183="Etsy",$J183="Y",$L183="Y",$M183&gt;0),($O183+Settings!$C$21*$M183*(1+Settings!$C$55)+IF(Settings!$C$59="Y",$Q183,0))*$T183/$M183+IF(AND(Settings!$C$58="Y",$T183&gt;=$M183),Settings!$C$22,0),0))</f>
        <v/>
      </c>
      <c r="S183" s="15">
        <f>IF($A183="","",$N183+$O183+$P183+$Q183-$R183)</f>
        <v/>
      </c>
      <c r="T183" s="15">
        <f>IF($A183="","",IF($J183="Y",IF($K183="",$M183,MIN($K183,$M183)),0))</f>
        <v/>
      </c>
      <c r="U183" s="15">
        <f>IF($A183="","",IF($D183="",1,$D183)*IFERROR(INDEX(Products!$F$5:$F$54,MATCH($C183,Products!$A$5:$A$54,0)),0))</f>
        <v/>
      </c>
      <c r="V183" s="27">
        <f>IF($A183="","",$M183-$T183-$S183-$U183-$G183)</f>
        <v/>
      </c>
      <c r="W183" s="31">
        <f>IF($A183="","",IF($M183-$T183&gt;0,$V183/($M183-$T183),""))</f>
        <v/>
      </c>
      <c r="X183" s="35">
        <f>IF($A183="","",DATE(YEAR($A183),MONTH($A183),1))</f>
        <v/>
      </c>
    </row>
    <row r="184">
      <c r="A184" s="18" t="n"/>
      <c r="B184" s="13" t="n"/>
      <c r="C184" s="13" t="n"/>
      <c r="D184" s="26" t="n"/>
      <c r="E184" s="12" t="n"/>
      <c r="F184" s="12" t="n"/>
      <c r="G184" s="12" t="n"/>
      <c r="H184" s="12" t="n"/>
      <c r="I184" s="13" t="n"/>
      <c r="J184" s="13" t="n"/>
      <c r="K184" s="12" t="n"/>
      <c r="L184" s="13" t="n"/>
      <c r="M184" s="15">
        <f>IF($A184="","",IF($D184="",1,$D184)*$E184+$F184-$H184)</f>
        <v/>
      </c>
      <c r="N184" s="15">
        <f>IF($A184="","",IF($B184="Etsy",IF($D184="",1,$D184)*Settings!$C$19,0))</f>
        <v/>
      </c>
      <c r="O184" s="15">
        <f>IF($A184="","",IF($B184="Etsy",Settings!$C$20*($M184+IF(Settings!$C$54="Y",0,$H184)),0))</f>
        <v/>
      </c>
      <c r="P184" s="15">
        <f>IF($A184="","",IF($B184="Etsy",Settings!$C$21*$M184*(1+Settings!$C$55)+Settings!$C$22,IF($B184="Shopify",Settings!$C$14*$M184+Settings!$C$15,0)))</f>
        <v/>
      </c>
      <c r="Q184" s="15">
        <f>IF($A184="","",IF(AND($B184="Etsy",$I184="Y"),MIN(Settings!$C$12*($M184+IF(Settings!$C$54="Y",0,$H184)),Settings!$C$25),0))</f>
        <v/>
      </c>
      <c r="R184" s="15">
        <f>IF($A184="","",IF(AND($B184="Etsy",$J184="Y",$L184="Y",$M184&gt;0),($O184+Settings!$C$21*$M184*(1+Settings!$C$55)+IF(Settings!$C$59="Y",$Q184,0))*$T184/$M184+IF(AND(Settings!$C$58="Y",$T184&gt;=$M184),Settings!$C$22,0),0))</f>
        <v/>
      </c>
      <c r="S184" s="15">
        <f>IF($A184="","",$N184+$O184+$P184+$Q184-$R184)</f>
        <v/>
      </c>
      <c r="T184" s="15">
        <f>IF($A184="","",IF($J184="Y",IF($K184="",$M184,MIN($K184,$M184)),0))</f>
        <v/>
      </c>
      <c r="U184" s="15">
        <f>IF($A184="","",IF($D184="",1,$D184)*IFERROR(INDEX(Products!$F$5:$F$54,MATCH($C184,Products!$A$5:$A$54,0)),0))</f>
        <v/>
      </c>
      <c r="V184" s="27">
        <f>IF($A184="","",$M184-$T184-$S184-$U184-$G184)</f>
        <v/>
      </c>
      <c r="W184" s="31">
        <f>IF($A184="","",IF($M184-$T184&gt;0,$V184/($M184-$T184),""))</f>
        <v/>
      </c>
      <c r="X184" s="35">
        <f>IF($A184="","",DATE(YEAR($A184),MONTH($A184),1))</f>
        <v/>
      </c>
    </row>
    <row r="185">
      <c r="A185" s="18" t="n"/>
      <c r="B185" s="13" t="n"/>
      <c r="C185" s="13" t="n"/>
      <c r="D185" s="26" t="n"/>
      <c r="E185" s="12" t="n"/>
      <c r="F185" s="12" t="n"/>
      <c r="G185" s="12" t="n"/>
      <c r="H185" s="12" t="n"/>
      <c r="I185" s="13" t="n"/>
      <c r="J185" s="13" t="n"/>
      <c r="K185" s="12" t="n"/>
      <c r="L185" s="13" t="n"/>
      <c r="M185" s="15">
        <f>IF($A185="","",IF($D185="",1,$D185)*$E185+$F185-$H185)</f>
        <v/>
      </c>
      <c r="N185" s="15">
        <f>IF($A185="","",IF($B185="Etsy",IF($D185="",1,$D185)*Settings!$C$19,0))</f>
        <v/>
      </c>
      <c r="O185" s="15">
        <f>IF($A185="","",IF($B185="Etsy",Settings!$C$20*($M185+IF(Settings!$C$54="Y",0,$H185)),0))</f>
        <v/>
      </c>
      <c r="P185" s="15">
        <f>IF($A185="","",IF($B185="Etsy",Settings!$C$21*$M185*(1+Settings!$C$55)+Settings!$C$22,IF($B185="Shopify",Settings!$C$14*$M185+Settings!$C$15,0)))</f>
        <v/>
      </c>
      <c r="Q185" s="15">
        <f>IF($A185="","",IF(AND($B185="Etsy",$I185="Y"),MIN(Settings!$C$12*($M185+IF(Settings!$C$54="Y",0,$H185)),Settings!$C$25),0))</f>
        <v/>
      </c>
      <c r="R185" s="15">
        <f>IF($A185="","",IF(AND($B185="Etsy",$J185="Y",$L185="Y",$M185&gt;0),($O185+Settings!$C$21*$M185*(1+Settings!$C$55)+IF(Settings!$C$59="Y",$Q185,0))*$T185/$M185+IF(AND(Settings!$C$58="Y",$T185&gt;=$M185),Settings!$C$22,0),0))</f>
        <v/>
      </c>
      <c r="S185" s="15">
        <f>IF($A185="","",$N185+$O185+$P185+$Q185-$R185)</f>
        <v/>
      </c>
      <c r="T185" s="15">
        <f>IF($A185="","",IF($J185="Y",IF($K185="",$M185,MIN($K185,$M185)),0))</f>
        <v/>
      </c>
      <c r="U185" s="15">
        <f>IF($A185="","",IF($D185="",1,$D185)*IFERROR(INDEX(Products!$F$5:$F$54,MATCH($C185,Products!$A$5:$A$54,0)),0))</f>
        <v/>
      </c>
      <c r="V185" s="27">
        <f>IF($A185="","",$M185-$T185-$S185-$U185-$G185)</f>
        <v/>
      </c>
      <c r="W185" s="31">
        <f>IF($A185="","",IF($M185-$T185&gt;0,$V185/($M185-$T185),""))</f>
        <v/>
      </c>
      <c r="X185" s="35">
        <f>IF($A185="","",DATE(YEAR($A185),MONTH($A185),1))</f>
        <v/>
      </c>
    </row>
    <row r="186">
      <c r="A186" s="18" t="n"/>
      <c r="B186" s="13" t="n"/>
      <c r="C186" s="13" t="n"/>
      <c r="D186" s="26" t="n"/>
      <c r="E186" s="12" t="n"/>
      <c r="F186" s="12" t="n"/>
      <c r="G186" s="12" t="n"/>
      <c r="H186" s="12" t="n"/>
      <c r="I186" s="13" t="n"/>
      <c r="J186" s="13" t="n"/>
      <c r="K186" s="12" t="n"/>
      <c r="L186" s="13" t="n"/>
      <c r="M186" s="15">
        <f>IF($A186="","",IF($D186="",1,$D186)*$E186+$F186-$H186)</f>
        <v/>
      </c>
      <c r="N186" s="15">
        <f>IF($A186="","",IF($B186="Etsy",IF($D186="",1,$D186)*Settings!$C$19,0))</f>
        <v/>
      </c>
      <c r="O186" s="15">
        <f>IF($A186="","",IF($B186="Etsy",Settings!$C$20*($M186+IF(Settings!$C$54="Y",0,$H186)),0))</f>
        <v/>
      </c>
      <c r="P186" s="15">
        <f>IF($A186="","",IF($B186="Etsy",Settings!$C$21*$M186*(1+Settings!$C$55)+Settings!$C$22,IF($B186="Shopify",Settings!$C$14*$M186+Settings!$C$15,0)))</f>
        <v/>
      </c>
      <c r="Q186" s="15">
        <f>IF($A186="","",IF(AND($B186="Etsy",$I186="Y"),MIN(Settings!$C$12*($M186+IF(Settings!$C$54="Y",0,$H186)),Settings!$C$25),0))</f>
        <v/>
      </c>
      <c r="R186" s="15">
        <f>IF($A186="","",IF(AND($B186="Etsy",$J186="Y",$L186="Y",$M186&gt;0),($O186+Settings!$C$21*$M186*(1+Settings!$C$55)+IF(Settings!$C$59="Y",$Q186,0))*$T186/$M186+IF(AND(Settings!$C$58="Y",$T186&gt;=$M186),Settings!$C$22,0),0))</f>
        <v/>
      </c>
      <c r="S186" s="15">
        <f>IF($A186="","",$N186+$O186+$P186+$Q186-$R186)</f>
        <v/>
      </c>
      <c r="T186" s="15">
        <f>IF($A186="","",IF($J186="Y",IF($K186="",$M186,MIN($K186,$M186)),0))</f>
        <v/>
      </c>
      <c r="U186" s="15">
        <f>IF($A186="","",IF($D186="",1,$D186)*IFERROR(INDEX(Products!$F$5:$F$54,MATCH($C186,Products!$A$5:$A$54,0)),0))</f>
        <v/>
      </c>
      <c r="V186" s="27">
        <f>IF($A186="","",$M186-$T186-$S186-$U186-$G186)</f>
        <v/>
      </c>
      <c r="W186" s="31">
        <f>IF($A186="","",IF($M186-$T186&gt;0,$V186/($M186-$T186),""))</f>
        <v/>
      </c>
      <c r="X186" s="35">
        <f>IF($A186="","",DATE(YEAR($A186),MONTH($A186),1))</f>
        <v/>
      </c>
    </row>
    <row r="187">
      <c r="A187" s="18" t="n"/>
      <c r="B187" s="13" t="n"/>
      <c r="C187" s="13" t="n"/>
      <c r="D187" s="26" t="n"/>
      <c r="E187" s="12" t="n"/>
      <c r="F187" s="12" t="n"/>
      <c r="G187" s="12" t="n"/>
      <c r="H187" s="12" t="n"/>
      <c r="I187" s="13" t="n"/>
      <c r="J187" s="13" t="n"/>
      <c r="K187" s="12" t="n"/>
      <c r="L187" s="13" t="n"/>
      <c r="M187" s="15">
        <f>IF($A187="","",IF($D187="",1,$D187)*$E187+$F187-$H187)</f>
        <v/>
      </c>
      <c r="N187" s="15">
        <f>IF($A187="","",IF($B187="Etsy",IF($D187="",1,$D187)*Settings!$C$19,0))</f>
        <v/>
      </c>
      <c r="O187" s="15">
        <f>IF($A187="","",IF($B187="Etsy",Settings!$C$20*($M187+IF(Settings!$C$54="Y",0,$H187)),0))</f>
        <v/>
      </c>
      <c r="P187" s="15">
        <f>IF($A187="","",IF($B187="Etsy",Settings!$C$21*$M187*(1+Settings!$C$55)+Settings!$C$22,IF($B187="Shopify",Settings!$C$14*$M187+Settings!$C$15,0)))</f>
        <v/>
      </c>
      <c r="Q187" s="15">
        <f>IF($A187="","",IF(AND($B187="Etsy",$I187="Y"),MIN(Settings!$C$12*($M187+IF(Settings!$C$54="Y",0,$H187)),Settings!$C$25),0))</f>
        <v/>
      </c>
      <c r="R187" s="15">
        <f>IF($A187="","",IF(AND($B187="Etsy",$J187="Y",$L187="Y",$M187&gt;0),($O187+Settings!$C$21*$M187*(1+Settings!$C$55)+IF(Settings!$C$59="Y",$Q187,0))*$T187/$M187+IF(AND(Settings!$C$58="Y",$T187&gt;=$M187),Settings!$C$22,0),0))</f>
        <v/>
      </c>
      <c r="S187" s="15">
        <f>IF($A187="","",$N187+$O187+$P187+$Q187-$R187)</f>
        <v/>
      </c>
      <c r="T187" s="15">
        <f>IF($A187="","",IF($J187="Y",IF($K187="",$M187,MIN($K187,$M187)),0))</f>
        <v/>
      </c>
      <c r="U187" s="15">
        <f>IF($A187="","",IF($D187="",1,$D187)*IFERROR(INDEX(Products!$F$5:$F$54,MATCH($C187,Products!$A$5:$A$54,0)),0))</f>
        <v/>
      </c>
      <c r="V187" s="27">
        <f>IF($A187="","",$M187-$T187-$S187-$U187-$G187)</f>
        <v/>
      </c>
      <c r="W187" s="31">
        <f>IF($A187="","",IF($M187-$T187&gt;0,$V187/($M187-$T187),""))</f>
        <v/>
      </c>
      <c r="X187" s="35">
        <f>IF($A187="","",DATE(YEAR($A187),MONTH($A187),1))</f>
        <v/>
      </c>
    </row>
    <row r="188">
      <c r="A188" s="18" t="n"/>
      <c r="B188" s="13" t="n"/>
      <c r="C188" s="13" t="n"/>
      <c r="D188" s="26" t="n"/>
      <c r="E188" s="12" t="n"/>
      <c r="F188" s="12" t="n"/>
      <c r="G188" s="12" t="n"/>
      <c r="H188" s="12" t="n"/>
      <c r="I188" s="13" t="n"/>
      <c r="J188" s="13" t="n"/>
      <c r="K188" s="12" t="n"/>
      <c r="L188" s="13" t="n"/>
      <c r="M188" s="15">
        <f>IF($A188="","",IF($D188="",1,$D188)*$E188+$F188-$H188)</f>
        <v/>
      </c>
      <c r="N188" s="15">
        <f>IF($A188="","",IF($B188="Etsy",IF($D188="",1,$D188)*Settings!$C$19,0))</f>
        <v/>
      </c>
      <c r="O188" s="15">
        <f>IF($A188="","",IF($B188="Etsy",Settings!$C$20*($M188+IF(Settings!$C$54="Y",0,$H188)),0))</f>
        <v/>
      </c>
      <c r="P188" s="15">
        <f>IF($A188="","",IF($B188="Etsy",Settings!$C$21*$M188*(1+Settings!$C$55)+Settings!$C$22,IF($B188="Shopify",Settings!$C$14*$M188+Settings!$C$15,0)))</f>
        <v/>
      </c>
      <c r="Q188" s="15">
        <f>IF($A188="","",IF(AND($B188="Etsy",$I188="Y"),MIN(Settings!$C$12*($M188+IF(Settings!$C$54="Y",0,$H188)),Settings!$C$25),0))</f>
        <v/>
      </c>
      <c r="R188" s="15">
        <f>IF($A188="","",IF(AND($B188="Etsy",$J188="Y",$L188="Y",$M188&gt;0),($O188+Settings!$C$21*$M188*(1+Settings!$C$55)+IF(Settings!$C$59="Y",$Q188,0))*$T188/$M188+IF(AND(Settings!$C$58="Y",$T188&gt;=$M188),Settings!$C$22,0),0))</f>
        <v/>
      </c>
      <c r="S188" s="15">
        <f>IF($A188="","",$N188+$O188+$P188+$Q188-$R188)</f>
        <v/>
      </c>
      <c r="T188" s="15">
        <f>IF($A188="","",IF($J188="Y",IF($K188="",$M188,MIN($K188,$M188)),0))</f>
        <v/>
      </c>
      <c r="U188" s="15">
        <f>IF($A188="","",IF($D188="",1,$D188)*IFERROR(INDEX(Products!$F$5:$F$54,MATCH($C188,Products!$A$5:$A$54,0)),0))</f>
        <v/>
      </c>
      <c r="V188" s="27">
        <f>IF($A188="","",$M188-$T188-$S188-$U188-$G188)</f>
        <v/>
      </c>
      <c r="W188" s="31">
        <f>IF($A188="","",IF($M188-$T188&gt;0,$V188/($M188-$T188),""))</f>
        <v/>
      </c>
      <c r="X188" s="35">
        <f>IF($A188="","",DATE(YEAR($A188),MONTH($A188),1))</f>
        <v/>
      </c>
    </row>
    <row r="189">
      <c r="A189" s="18" t="n"/>
      <c r="B189" s="13" t="n"/>
      <c r="C189" s="13" t="n"/>
      <c r="D189" s="26" t="n"/>
      <c r="E189" s="12" t="n"/>
      <c r="F189" s="12" t="n"/>
      <c r="G189" s="12" t="n"/>
      <c r="H189" s="12" t="n"/>
      <c r="I189" s="13" t="n"/>
      <c r="J189" s="13" t="n"/>
      <c r="K189" s="12" t="n"/>
      <c r="L189" s="13" t="n"/>
      <c r="M189" s="15">
        <f>IF($A189="","",IF($D189="",1,$D189)*$E189+$F189-$H189)</f>
        <v/>
      </c>
      <c r="N189" s="15">
        <f>IF($A189="","",IF($B189="Etsy",IF($D189="",1,$D189)*Settings!$C$19,0))</f>
        <v/>
      </c>
      <c r="O189" s="15">
        <f>IF($A189="","",IF($B189="Etsy",Settings!$C$20*($M189+IF(Settings!$C$54="Y",0,$H189)),0))</f>
        <v/>
      </c>
      <c r="P189" s="15">
        <f>IF($A189="","",IF($B189="Etsy",Settings!$C$21*$M189*(1+Settings!$C$55)+Settings!$C$22,IF($B189="Shopify",Settings!$C$14*$M189+Settings!$C$15,0)))</f>
        <v/>
      </c>
      <c r="Q189" s="15">
        <f>IF($A189="","",IF(AND($B189="Etsy",$I189="Y"),MIN(Settings!$C$12*($M189+IF(Settings!$C$54="Y",0,$H189)),Settings!$C$25),0))</f>
        <v/>
      </c>
      <c r="R189" s="15">
        <f>IF($A189="","",IF(AND($B189="Etsy",$J189="Y",$L189="Y",$M189&gt;0),($O189+Settings!$C$21*$M189*(1+Settings!$C$55)+IF(Settings!$C$59="Y",$Q189,0))*$T189/$M189+IF(AND(Settings!$C$58="Y",$T189&gt;=$M189),Settings!$C$22,0),0))</f>
        <v/>
      </c>
      <c r="S189" s="15">
        <f>IF($A189="","",$N189+$O189+$P189+$Q189-$R189)</f>
        <v/>
      </c>
      <c r="T189" s="15">
        <f>IF($A189="","",IF($J189="Y",IF($K189="",$M189,MIN($K189,$M189)),0))</f>
        <v/>
      </c>
      <c r="U189" s="15">
        <f>IF($A189="","",IF($D189="",1,$D189)*IFERROR(INDEX(Products!$F$5:$F$54,MATCH($C189,Products!$A$5:$A$54,0)),0))</f>
        <v/>
      </c>
      <c r="V189" s="27">
        <f>IF($A189="","",$M189-$T189-$S189-$U189-$G189)</f>
        <v/>
      </c>
      <c r="W189" s="31">
        <f>IF($A189="","",IF($M189-$T189&gt;0,$V189/($M189-$T189),""))</f>
        <v/>
      </c>
      <c r="X189" s="35">
        <f>IF($A189="","",DATE(YEAR($A189),MONTH($A189),1))</f>
        <v/>
      </c>
    </row>
    <row r="190">
      <c r="A190" s="18" t="n"/>
      <c r="B190" s="13" t="n"/>
      <c r="C190" s="13" t="n"/>
      <c r="D190" s="26" t="n"/>
      <c r="E190" s="12" t="n"/>
      <c r="F190" s="12" t="n"/>
      <c r="G190" s="12" t="n"/>
      <c r="H190" s="12" t="n"/>
      <c r="I190" s="13" t="n"/>
      <c r="J190" s="13" t="n"/>
      <c r="K190" s="12" t="n"/>
      <c r="L190" s="13" t="n"/>
      <c r="M190" s="15">
        <f>IF($A190="","",IF($D190="",1,$D190)*$E190+$F190-$H190)</f>
        <v/>
      </c>
      <c r="N190" s="15">
        <f>IF($A190="","",IF($B190="Etsy",IF($D190="",1,$D190)*Settings!$C$19,0))</f>
        <v/>
      </c>
      <c r="O190" s="15">
        <f>IF($A190="","",IF($B190="Etsy",Settings!$C$20*($M190+IF(Settings!$C$54="Y",0,$H190)),0))</f>
        <v/>
      </c>
      <c r="P190" s="15">
        <f>IF($A190="","",IF($B190="Etsy",Settings!$C$21*$M190*(1+Settings!$C$55)+Settings!$C$22,IF($B190="Shopify",Settings!$C$14*$M190+Settings!$C$15,0)))</f>
        <v/>
      </c>
      <c r="Q190" s="15">
        <f>IF($A190="","",IF(AND($B190="Etsy",$I190="Y"),MIN(Settings!$C$12*($M190+IF(Settings!$C$54="Y",0,$H190)),Settings!$C$25),0))</f>
        <v/>
      </c>
      <c r="R190" s="15">
        <f>IF($A190="","",IF(AND($B190="Etsy",$J190="Y",$L190="Y",$M190&gt;0),($O190+Settings!$C$21*$M190*(1+Settings!$C$55)+IF(Settings!$C$59="Y",$Q190,0))*$T190/$M190+IF(AND(Settings!$C$58="Y",$T190&gt;=$M190),Settings!$C$22,0),0))</f>
        <v/>
      </c>
      <c r="S190" s="15">
        <f>IF($A190="","",$N190+$O190+$P190+$Q190-$R190)</f>
        <v/>
      </c>
      <c r="T190" s="15">
        <f>IF($A190="","",IF($J190="Y",IF($K190="",$M190,MIN($K190,$M190)),0))</f>
        <v/>
      </c>
      <c r="U190" s="15">
        <f>IF($A190="","",IF($D190="",1,$D190)*IFERROR(INDEX(Products!$F$5:$F$54,MATCH($C190,Products!$A$5:$A$54,0)),0))</f>
        <v/>
      </c>
      <c r="V190" s="27">
        <f>IF($A190="","",$M190-$T190-$S190-$U190-$G190)</f>
        <v/>
      </c>
      <c r="W190" s="31">
        <f>IF($A190="","",IF($M190-$T190&gt;0,$V190/($M190-$T190),""))</f>
        <v/>
      </c>
      <c r="X190" s="35">
        <f>IF($A190="","",DATE(YEAR($A190),MONTH($A190),1))</f>
        <v/>
      </c>
    </row>
    <row r="191">
      <c r="A191" s="18" t="n"/>
      <c r="B191" s="13" t="n"/>
      <c r="C191" s="13" t="n"/>
      <c r="D191" s="26" t="n"/>
      <c r="E191" s="12" t="n"/>
      <c r="F191" s="12" t="n"/>
      <c r="G191" s="12" t="n"/>
      <c r="H191" s="12" t="n"/>
      <c r="I191" s="13" t="n"/>
      <c r="J191" s="13" t="n"/>
      <c r="K191" s="12" t="n"/>
      <c r="L191" s="13" t="n"/>
      <c r="M191" s="15">
        <f>IF($A191="","",IF($D191="",1,$D191)*$E191+$F191-$H191)</f>
        <v/>
      </c>
      <c r="N191" s="15">
        <f>IF($A191="","",IF($B191="Etsy",IF($D191="",1,$D191)*Settings!$C$19,0))</f>
        <v/>
      </c>
      <c r="O191" s="15">
        <f>IF($A191="","",IF($B191="Etsy",Settings!$C$20*($M191+IF(Settings!$C$54="Y",0,$H191)),0))</f>
        <v/>
      </c>
      <c r="P191" s="15">
        <f>IF($A191="","",IF($B191="Etsy",Settings!$C$21*$M191*(1+Settings!$C$55)+Settings!$C$22,IF($B191="Shopify",Settings!$C$14*$M191+Settings!$C$15,0)))</f>
        <v/>
      </c>
      <c r="Q191" s="15">
        <f>IF($A191="","",IF(AND($B191="Etsy",$I191="Y"),MIN(Settings!$C$12*($M191+IF(Settings!$C$54="Y",0,$H191)),Settings!$C$25),0))</f>
        <v/>
      </c>
      <c r="R191" s="15">
        <f>IF($A191="","",IF(AND($B191="Etsy",$J191="Y",$L191="Y",$M191&gt;0),($O191+Settings!$C$21*$M191*(1+Settings!$C$55)+IF(Settings!$C$59="Y",$Q191,0))*$T191/$M191+IF(AND(Settings!$C$58="Y",$T191&gt;=$M191),Settings!$C$22,0),0))</f>
        <v/>
      </c>
      <c r="S191" s="15">
        <f>IF($A191="","",$N191+$O191+$P191+$Q191-$R191)</f>
        <v/>
      </c>
      <c r="T191" s="15">
        <f>IF($A191="","",IF($J191="Y",IF($K191="",$M191,MIN($K191,$M191)),0))</f>
        <v/>
      </c>
      <c r="U191" s="15">
        <f>IF($A191="","",IF($D191="",1,$D191)*IFERROR(INDEX(Products!$F$5:$F$54,MATCH($C191,Products!$A$5:$A$54,0)),0))</f>
        <v/>
      </c>
      <c r="V191" s="27">
        <f>IF($A191="","",$M191-$T191-$S191-$U191-$G191)</f>
        <v/>
      </c>
      <c r="W191" s="31">
        <f>IF($A191="","",IF($M191-$T191&gt;0,$V191/($M191-$T191),""))</f>
        <v/>
      </c>
      <c r="X191" s="35">
        <f>IF($A191="","",DATE(YEAR($A191),MONTH($A191),1))</f>
        <v/>
      </c>
    </row>
    <row r="192">
      <c r="A192" s="18" t="n"/>
      <c r="B192" s="13" t="n"/>
      <c r="C192" s="13" t="n"/>
      <c r="D192" s="26" t="n"/>
      <c r="E192" s="12" t="n"/>
      <c r="F192" s="12" t="n"/>
      <c r="G192" s="12" t="n"/>
      <c r="H192" s="12" t="n"/>
      <c r="I192" s="13" t="n"/>
      <c r="J192" s="13" t="n"/>
      <c r="K192" s="12" t="n"/>
      <c r="L192" s="13" t="n"/>
      <c r="M192" s="15">
        <f>IF($A192="","",IF($D192="",1,$D192)*$E192+$F192-$H192)</f>
        <v/>
      </c>
      <c r="N192" s="15">
        <f>IF($A192="","",IF($B192="Etsy",IF($D192="",1,$D192)*Settings!$C$19,0))</f>
        <v/>
      </c>
      <c r="O192" s="15">
        <f>IF($A192="","",IF($B192="Etsy",Settings!$C$20*($M192+IF(Settings!$C$54="Y",0,$H192)),0))</f>
        <v/>
      </c>
      <c r="P192" s="15">
        <f>IF($A192="","",IF($B192="Etsy",Settings!$C$21*$M192*(1+Settings!$C$55)+Settings!$C$22,IF($B192="Shopify",Settings!$C$14*$M192+Settings!$C$15,0)))</f>
        <v/>
      </c>
      <c r="Q192" s="15">
        <f>IF($A192="","",IF(AND($B192="Etsy",$I192="Y"),MIN(Settings!$C$12*($M192+IF(Settings!$C$54="Y",0,$H192)),Settings!$C$25),0))</f>
        <v/>
      </c>
      <c r="R192" s="15">
        <f>IF($A192="","",IF(AND($B192="Etsy",$J192="Y",$L192="Y",$M192&gt;0),($O192+Settings!$C$21*$M192*(1+Settings!$C$55)+IF(Settings!$C$59="Y",$Q192,0))*$T192/$M192+IF(AND(Settings!$C$58="Y",$T192&gt;=$M192),Settings!$C$22,0),0))</f>
        <v/>
      </c>
      <c r="S192" s="15">
        <f>IF($A192="","",$N192+$O192+$P192+$Q192-$R192)</f>
        <v/>
      </c>
      <c r="T192" s="15">
        <f>IF($A192="","",IF($J192="Y",IF($K192="",$M192,MIN($K192,$M192)),0))</f>
        <v/>
      </c>
      <c r="U192" s="15">
        <f>IF($A192="","",IF($D192="",1,$D192)*IFERROR(INDEX(Products!$F$5:$F$54,MATCH($C192,Products!$A$5:$A$54,0)),0))</f>
        <v/>
      </c>
      <c r="V192" s="27">
        <f>IF($A192="","",$M192-$T192-$S192-$U192-$G192)</f>
        <v/>
      </c>
      <c r="W192" s="31">
        <f>IF($A192="","",IF($M192-$T192&gt;0,$V192/($M192-$T192),""))</f>
        <v/>
      </c>
      <c r="X192" s="35">
        <f>IF($A192="","",DATE(YEAR($A192),MONTH($A192),1))</f>
        <v/>
      </c>
    </row>
    <row r="193">
      <c r="A193" s="18" t="n"/>
      <c r="B193" s="13" t="n"/>
      <c r="C193" s="13" t="n"/>
      <c r="D193" s="26" t="n"/>
      <c r="E193" s="12" t="n"/>
      <c r="F193" s="12" t="n"/>
      <c r="G193" s="12" t="n"/>
      <c r="H193" s="12" t="n"/>
      <c r="I193" s="13" t="n"/>
      <c r="J193" s="13" t="n"/>
      <c r="K193" s="12" t="n"/>
      <c r="L193" s="13" t="n"/>
      <c r="M193" s="15">
        <f>IF($A193="","",IF($D193="",1,$D193)*$E193+$F193-$H193)</f>
        <v/>
      </c>
      <c r="N193" s="15">
        <f>IF($A193="","",IF($B193="Etsy",IF($D193="",1,$D193)*Settings!$C$19,0))</f>
        <v/>
      </c>
      <c r="O193" s="15">
        <f>IF($A193="","",IF($B193="Etsy",Settings!$C$20*($M193+IF(Settings!$C$54="Y",0,$H193)),0))</f>
        <v/>
      </c>
      <c r="P193" s="15">
        <f>IF($A193="","",IF($B193="Etsy",Settings!$C$21*$M193*(1+Settings!$C$55)+Settings!$C$22,IF($B193="Shopify",Settings!$C$14*$M193+Settings!$C$15,0)))</f>
        <v/>
      </c>
      <c r="Q193" s="15">
        <f>IF($A193="","",IF(AND($B193="Etsy",$I193="Y"),MIN(Settings!$C$12*($M193+IF(Settings!$C$54="Y",0,$H193)),Settings!$C$25),0))</f>
        <v/>
      </c>
      <c r="R193" s="15">
        <f>IF($A193="","",IF(AND($B193="Etsy",$J193="Y",$L193="Y",$M193&gt;0),($O193+Settings!$C$21*$M193*(1+Settings!$C$55)+IF(Settings!$C$59="Y",$Q193,0))*$T193/$M193+IF(AND(Settings!$C$58="Y",$T193&gt;=$M193),Settings!$C$22,0),0))</f>
        <v/>
      </c>
      <c r="S193" s="15">
        <f>IF($A193="","",$N193+$O193+$P193+$Q193-$R193)</f>
        <v/>
      </c>
      <c r="T193" s="15">
        <f>IF($A193="","",IF($J193="Y",IF($K193="",$M193,MIN($K193,$M193)),0))</f>
        <v/>
      </c>
      <c r="U193" s="15">
        <f>IF($A193="","",IF($D193="",1,$D193)*IFERROR(INDEX(Products!$F$5:$F$54,MATCH($C193,Products!$A$5:$A$54,0)),0))</f>
        <v/>
      </c>
      <c r="V193" s="27">
        <f>IF($A193="","",$M193-$T193-$S193-$U193-$G193)</f>
        <v/>
      </c>
      <c r="W193" s="31">
        <f>IF($A193="","",IF($M193-$T193&gt;0,$V193/($M193-$T193),""))</f>
        <v/>
      </c>
      <c r="X193" s="35">
        <f>IF($A193="","",DATE(YEAR($A193),MONTH($A193),1))</f>
        <v/>
      </c>
    </row>
    <row r="194">
      <c r="A194" s="18" t="n"/>
      <c r="B194" s="13" t="n"/>
      <c r="C194" s="13" t="n"/>
      <c r="D194" s="26" t="n"/>
      <c r="E194" s="12" t="n"/>
      <c r="F194" s="12" t="n"/>
      <c r="G194" s="12" t="n"/>
      <c r="H194" s="12" t="n"/>
      <c r="I194" s="13" t="n"/>
      <c r="J194" s="13" t="n"/>
      <c r="K194" s="12" t="n"/>
      <c r="L194" s="13" t="n"/>
      <c r="M194" s="15">
        <f>IF($A194="","",IF($D194="",1,$D194)*$E194+$F194-$H194)</f>
        <v/>
      </c>
      <c r="N194" s="15">
        <f>IF($A194="","",IF($B194="Etsy",IF($D194="",1,$D194)*Settings!$C$19,0))</f>
        <v/>
      </c>
      <c r="O194" s="15">
        <f>IF($A194="","",IF($B194="Etsy",Settings!$C$20*($M194+IF(Settings!$C$54="Y",0,$H194)),0))</f>
        <v/>
      </c>
      <c r="P194" s="15">
        <f>IF($A194="","",IF($B194="Etsy",Settings!$C$21*$M194*(1+Settings!$C$55)+Settings!$C$22,IF($B194="Shopify",Settings!$C$14*$M194+Settings!$C$15,0)))</f>
        <v/>
      </c>
      <c r="Q194" s="15">
        <f>IF($A194="","",IF(AND($B194="Etsy",$I194="Y"),MIN(Settings!$C$12*($M194+IF(Settings!$C$54="Y",0,$H194)),Settings!$C$25),0))</f>
        <v/>
      </c>
      <c r="R194" s="15">
        <f>IF($A194="","",IF(AND($B194="Etsy",$J194="Y",$L194="Y",$M194&gt;0),($O194+Settings!$C$21*$M194*(1+Settings!$C$55)+IF(Settings!$C$59="Y",$Q194,0))*$T194/$M194+IF(AND(Settings!$C$58="Y",$T194&gt;=$M194),Settings!$C$22,0),0))</f>
        <v/>
      </c>
      <c r="S194" s="15">
        <f>IF($A194="","",$N194+$O194+$P194+$Q194-$R194)</f>
        <v/>
      </c>
      <c r="T194" s="15">
        <f>IF($A194="","",IF($J194="Y",IF($K194="",$M194,MIN($K194,$M194)),0))</f>
        <v/>
      </c>
      <c r="U194" s="15">
        <f>IF($A194="","",IF($D194="",1,$D194)*IFERROR(INDEX(Products!$F$5:$F$54,MATCH($C194,Products!$A$5:$A$54,0)),0))</f>
        <v/>
      </c>
      <c r="V194" s="27">
        <f>IF($A194="","",$M194-$T194-$S194-$U194-$G194)</f>
        <v/>
      </c>
      <c r="W194" s="31">
        <f>IF($A194="","",IF($M194-$T194&gt;0,$V194/($M194-$T194),""))</f>
        <v/>
      </c>
      <c r="X194" s="35">
        <f>IF($A194="","",DATE(YEAR($A194),MONTH($A194),1))</f>
        <v/>
      </c>
    </row>
    <row r="195">
      <c r="A195" s="18" t="n"/>
      <c r="B195" s="13" t="n"/>
      <c r="C195" s="13" t="n"/>
      <c r="D195" s="26" t="n"/>
      <c r="E195" s="12" t="n"/>
      <c r="F195" s="12" t="n"/>
      <c r="G195" s="12" t="n"/>
      <c r="H195" s="12" t="n"/>
      <c r="I195" s="13" t="n"/>
      <c r="J195" s="13" t="n"/>
      <c r="K195" s="12" t="n"/>
      <c r="L195" s="13" t="n"/>
      <c r="M195" s="15">
        <f>IF($A195="","",IF($D195="",1,$D195)*$E195+$F195-$H195)</f>
        <v/>
      </c>
      <c r="N195" s="15">
        <f>IF($A195="","",IF($B195="Etsy",IF($D195="",1,$D195)*Settings!$C$19,0))</f>
        <v/>
      </c>
      <c r="O195" s="15">
        <f>IF($A195="","",IF($B195="Etsy",Settings!$C$20*($M195+IF(Settings!$C$54="Y",0,$H195)),0))</f>
        <v/>
      </c>
      <c r="P195" s="15">
        <f>IF($A195="","",IF($B195="Etsy",Settings!$C$21*$M195*(1+Settings!$C$55)+Settings!$C$22,IF($B195="Shopify",Settings!$C$14*$M195+Settings!$C$15,0)))</f>
        <v/>
      </c>
      <c r="Q195" s="15">
        <f>IF($A195="","",IF(AND($B195="Etsy",$I195="Y"),MIN(Settings!$C$12*($M195+IF(Settings!$C$54="Y",0,$H195)),Settings!$C$25),0))</f>
        <v/>
      </c>
      <c r="R195" s="15">
        <f>IF($A195="","",IF(AND($B195="Etsy",$J195="Y",$L195="Y",$M195&gt;0),($O195+Settings!$C$21*$M195*(1+Settings!$C$55)+IF(Settings!$C$59="Y",$Q195,0))*$T195/$M195+IF(AND(Settings!$C$58="Y",$T195&gt;=$M195),Settings!$C$22,0),0))</f>
        <v/>
      </c>
      <c r="S195" s="15">
        <f>IF($A195="","",$N195+$O195+$P195+$Q195-$R195)</f>
        <v/>
      </c>
      <c r="T195" s="15">
        <f>IF($A195="","",IF($J195="Y",IF($K195="",$M195,MIN($K195,$M195)),0))</f>
        <v/>
      </c>
      <c r="U195" s="15">
        <f>IF($A195="","",IF($D195="",1,$D195)*IFERROR(INDEX(Products!$F$5:$F$54,MATCH($C195,Products!$A$5:$A$54,0)),0))</f>
        <v/>
      </c>
      <c r="V195" s="27">
        <f>IF($A195="","",$M195-$T195-$S195-$U195-$G195)</f>
        <v/>
      </c>
      <c r="W195" s="31">
        <f>IF($A195="","",IF($M195-$T195&gt;0,$V195/($M195-$T195),""))</f>
        <v/>
      </c>
      <c r="X195" s="35">
        <f>IF($A195="","",DATE(YEAR($A195),MONTH($A195),1))</f>
        <v/>
      </c>
    </row>
    <row r="196">
      <c r="A196" s="18" t="n"/>
      <c r="B196" s="13" t="n"/>
      <c r="C196" s="13" t="n"/>
      <c r="D196" s="26" t="n"/>
      <c r="E196" s="12" t="n"/>
      <c r="F196" s="12" t="n"/>
      <c r="G196" s="12" t="n"/>
      <c r="H196" s="12" t="n"/>
      <c r="I196" s="13" t="n"/>
      <c r="J196" s="13" t="n"/>
      <c r="K196" s="12" t="n"/>
      <c r="L196" s="13" t="n"/>
      <c r="M196" s="15">
        <f>IF($A196="","",IF($D196="",1,$D196)*$E196+$F196-$H196)</f>
        <v/>
      </c>
      <c r="N196" s="15">
        <f>IF($A196="","",IF($B196="Etsy",IF($D196="",1,$D196)*Settings!$C$19,0))</f>
        <v/>
      </c>
      <c r="O196" s="15">
        <f>IF($A196="","",IF($B196="Etsy",Settings!$C$20*($M196+IF(Settings!$C$54="Y",0,$H196)),0))</f>
        <v/>
      </c>
      <c r="P196" s="15">
        <f>IF($A196="","",IF($B196="Etsy",Settings!$C$21*$M196*(1+Settings!$C$55)+Settings!$C$22,IF($B196="Shopify",Settings!$C$14*$M196+Settings!$C$15,0)))</f>
        <v/>
      </c>
      <c r="Q196" s="15">
        <f>IF($A196="","",IF(AND($B196="Etsy",$I196="Y"),MIN(Settings!$C$12*($M196+IF(Settings!$C$54="Y",0,$H196)),Settings!$C$25),0))</f>
        <v/>
      </c>
      <c r="R196" s="15">
        <f>IF($A196="","",IF(AND($B196="Etsy",$J196="Y",$L196="Y",$M196&gt;0),($O196+Settings!$C$21*$M196*(1+Settings!$C$55)+IF(Settings!$C$59="Y",$Q196,0))*$T196/$M196+IF(AND(Settings!$C$58="Y",$T196&gt;=$M196),Settings!$C$22,0),0))</f>
        <v/>
      </c>
      <c r="S196" s="15">
        <f>IF($A196="","",$N196+$O196+$P196+$Q196-$R196)</f>
        <v/>
      </c>
      <c r="T196" s="15">
        <f>IF($A196="","",IF($J196="Y",IF($K196="",$M196,MIN($K196,$M196)),0))</f>
        <v/>
      </c>
      <c r="U196" s="15">
        <f>IF($A196="","",IF($D196="",1,$D196)*IFERROR(INDEX(Products!$F$5:$F$54,MATCH($C196,Products!$A$5:$A$54,0)),0))</f>
        <v/>
      </c>
      <c r="V196" s="27">
        <f>IF($A196="","",$M196-$T196-$S196-$U196-$G196)</f>
        <v/>
      </c>
      <c r="W196" s="31">
        <f>IF($A196="","",IF($M196-$T196&gt;0,$V196/($M196-$T196),""))</f>
        <v/>
      </c>
      <c r="X196" s="35">
        <f>IF($A196="","",DATE(YEAR($A196),MONTH($A196),1))</f>
        <v/>
      </c>
    </row>
    <row r="197">
      <c r="A197" s="18" t="n"/>
      <c r="B197" s="13" t="n"/>
      <c r="C197" s="13" t="n"/>
      <c r="D197" s="26" t="n"/>
      <c r="E197" s="12" t="n"/>
      <c r="F197" s="12" t="n"/>
      <c r="G197" s="12" t="n"/>
      <c r="H197" s="12" t="n"/>
      <c r="I197" s="13" t="n"/>
      <c r="J197" s="13" t="n"/>
      <c r="K197" s="12" t="n"/>
      <c r="L197" s="13" t="n"/>
      <c r="M197" s="15">
        <f>IF($A197="","",IF($D197="",1,$D197)*$E197+$F197-$H197)</f>
        <v/>
      </c>
      <c r="N197" s="15">
        <f>IF($A197="","",IF($B197="Etsy",IF($D197="",1,$D197)*Settings!$C$19,0))</f>
        <v/>
      </c>
      <c r="O197" s="15">
        <f>IF($A197="","",IF($B197="Etsy",Settings!$C$20*($M197+IF(Settings!$C$54="Y",0,$H197)),0))</f>
        <v/>
      </c>
      <c r="P197" s="15">
        <f>IF($A197="","",IF($B197="Etsy",Settings!$C$21*$M197*(1+Settings!$C$55)+Settings!$C$22,IF($B197="Shopify",Settings!$C$14*$M197+Settings!$C$15,0)))</f>
        <v/>
      </c>
      <c r="Q197" s="15">
        <f>IF($A197="","",IF(AND($B197="Etsy",$I197="Y"),MIN(Settings!$C$12*($M197+IF(Settings!$C$54="Y",0,$H197)),Settings!$C$25),0))</f>
        <v/>
      </c>
      <c r="R197" s="15">
        <f>IF($A197="","",IF(AND($B197="Etsy",$J197="Y",$L197="Y",$M197&gt;0),($O197+Settings!$C$21*$M197*(1+Settings!$C$55)+IF(Settings!$C$59="Y",$Q197,0))*$T197/$M197+IF(AND(Settings!$C$58="Y",$T197&gt;=$M197),Settings!$C$22,0),0))</f>
        <v/>
      </c>
      <c r="S197" s="15">
        <f>IF($A197="","",$N197+$O197+$P197+$Q197-$R197)</f>
        <v/>
      </c>
      <c r="T197" s="15">
        <f>IF($A197="","",IF($J197="Y",IF($K197="",$M197,MIN($K197,$M197)),0))</f>
        <v/>
      </c>
      <c r="U197" s="15">
        <f>IF($A197="","",IF($D197="",1,$D197)*IFERROR(INDEX(Products!$F$5:$F$54,MATCH($C197,Products!$A$5:$A$54,0)),0))</f>
        <v/>
      </c>
      <c r="V197" s="27">
        <f>IF($A197="","",$M197-$T197-$S197-$U197-$G197)</f>
        <v/>
      </c>
      <c r="W197" s="31">
        <f>IF($A197="","",IF($M197-$T197&gt;0,$V197/($M197-$T197),""))</f>
        <v/>
      </c>
      <c r="X197" s="35">
        <f>IF($A197="","",DATE(YEAR($A197),MONTH($A197),1))</f>
        <v/>
      </c>
    </row>
    <row r="198">
      <c r="A198" s="18" t="n"/>
      <c r="B198" s="13" t="n"/>
      <c r="C198" s="13" t="n"/>
      <c r="D198" s="26" t="n"/>
      <c r="E198" s="12" t="n"/>
      <c r="F198" s="12" t="n"/>
      <c r="G198" s="12" t="n"/>
      <c r="H198" s="12" t="n"/>
      <c r="I198" s="13" t="n"/>
      <c r="J198" s="13" t="n"/>
      <c r="K198" s="12" t="n"/>
      <c r="L198" s="13" t="n"/>
      <c r="M198" s="15">
        <f>IF($A198="","",IF($D198="",1,$D198)*$E198+$F198-$H198)</f>
        <v/>
      </c>
      <c r="N198" s="15">
        <f>IF($A198="","",IF($B198="Etsy",IF($D198="",1,$D198)*Settings!$C$19,0))</f>
        <v/>
      </c>
      <c r="O198" s="15">
        <f>IF($A198="","",IF($B198="Etsy",Settings!$C$20*($M198+IF(Settings!$C$54="Y",0,$H198)),0))</f>
        <v/>
      </c>
      <c r="P198" s="15">
        <f>IF($A198="","",IF($B198="Etsy",Settings!$C$21*$M198*(1+Settings!$C$55)+Settings!$C$22,IF($B198="Shopify",Settings!$C$14*$M198+Settings!$C$15,0)))</f>
        <v/>
      </c>
      <c r="Q198" s="15">
        <f>IF($A198="","",IF(AND($B198="Etsy",$I198="Y"),MIN(Settings!$C$12*($M198+IF(Settings!$C$54="Y",0,$H198)),Settings!$C$25),0))</f>
        <v/>
      </c>
      <c r="R198" s="15">
        <f>IF($A198="","",IF(AND($B198="Etsy",$J198="Y",$L198="Y",$M198&gt;0),($O198+Settings!$C$21*$M198*(1+Settings!$C$55)+IF(Settings!$C$59="Y",$Q198,0))*$T198/$M198+IF(AND(Settings!$C$58="Y",$T198&gt;=$M198),Settings!$C$22,0),0))</f>
        <v/>
      </c>
      <c r="S198" s="15">
        <f>IF($A198="","",$N198+$O198+$P198+$Q198-$R198)</f>
        <v/>
      </c>
      <c r="T198" s="15">
        <f>IF($A198="","",IF($J198="Y",IF($K198="",$M198,MIN($K198,$M198)),0))</f>
        <v/>
      </c>
      <c r="U198" s="15">
        <f>IF($A198="","",IF($D198="",1,$D198)*IFERROR(INDEX(Products!$F$5:$F$54,MATCH($C198,Products!$A$5:$A$54,0)),0))</f>
        <v/>
      </c>
      <c r="V198" s="27">
        <f>IF($A198="","",$M198-$T198-$S198-$U198-$G198)</f>
        <v/>
      </c>
      <c r="W198" s="31">
        <f>IF($A198="","",IF($M198-$T198&gt;0,$V198/($M198-$T198),""))</f>
        <v/>
      </c>
      <c r="X198" s="35">
        <f>IF($A198="","",DATE(YEAR($A198),MONTH($A198),1))</f>
        <v/>
      </c>
    </row>
    <row r="199">
      <c r="A199" s="18" t="n"/>
      <c r="B199" s="13" t="n"/>
      <c r="C199" s="13" t="n"/>
      <c r="D199" s="26" t="n"/>
      <c r="E199" s="12" t="n"/>
      <c r="F199" s="12" t="n"/>
      <c r="G199" s="12" t="n"/>
      <c r="H199" s="12" t="n"/>
      <c r="I199" s="13" t="n"/>
      <c r="J199" s="13" t="n"/>
      <c r="K199" s="12" t="n"/>
      <c r="L199" s="13" t="n"/>
      <c r="M199" s="15">
        <f>IF($A199="","",IF($D199="",1,$D199)*$E199+$F199-$H199)</f>
        <v/>
      </c>
      <c r="N199" s="15">
        <f>IF($A199="","",IF($B199="Etsy",IF($D199="",1,$D199)*Settings!$C$19,0))</f>
        <v/>
      </c>
      <c r="O199" s="15">
        <f>IF($A199="","",IF($B199="Etsy",Settings!$C$20*($M199+IF(Settings!$C$54="Y",0,$H199)),0))</f>
        <v/>
      </c>
      <c r="P199" s="15">
        <f>IF($A199="","",IF($B199="Etsy",Settings!$C$21*$M199*(1+Settings!$C$55)+Settings!$C$22,IF($B199="Shopify",Settings!$C$14*$M199+Settings!$C$15,0)))</f>
        <v/>
      </c>
      <c r="Q199" s="15">
        <f>IF($A199="","",IF(AND($B199="Etsy",$I199="Y"),MIN(Settings!$C$12*($M199+IF(Settings!$C$54="Y",0,$H199)),Settings!$C$25),0))</f>
        <v/>
      </c>
      <c r="R199" s="15">
        <f>IF($A199="","",IF(AND($B199="Etsy",$J199="Y",$L199="Y",$M199&gt;0),($O199+Settings!$C$21*$M199*(1+Settings!$C$55)+IF(Settings!$C$59="Y",$Q199,0))*$T199/$M199+IF(AND(Settings!$C$58="Y",$T199&gt;=$M199),Settings!$C$22,0),0))</f>
        <v/>
      </c>
      <c r="S199" s="15">
        <f>IF($A199="","",$N199+$O199+$P199+$Q199-$R199)</f>
        <v/>
      </c>
      <c r="T199" s="15">
        <f>IF($A199="","",IF($J199="Y",IF($K199="",$M199,MIN($K199,$M199)),0))</f>
        <v/>
      </c>
      <c r="U199" s="15">
        <f>IF($A199="","",IF($D199="",1,$D199)*IFERROR(INDEX(Products!$F$5:$F$54,MATCH($C199,Products!$A$5:$A$54,0)),0))</f>
        <v/>
      </c>
      <c r="V199" s="27">
        <f>IF($A199="","",$M199-$T199-$S199-$U199-$G199)</f>
        <v/>
      </c>
      <c r="W199" s="31">
        <f>IF($A199="","",IF($M199-$T199&gt;0,$V199/($M199-$T199),""))</f>
        <v/>
      </c>
      <c r="X199" s="35">
        <f>IF($A199="","",DATE(YEAR($A199),MONTH($A199),1))</f>
        <v/>
      </c>
    </row>
    <row r="200">
      <c r="A200" s="18" t="n"/>
      <c r="B200" s="13" t="n"/>
      <c r="C200" s="13" t="n"/>
      <c r="D200" s="26" t="n"/>
      <c r="E200" s="12" t="n"/>
      <c r="F200" s="12" t="n"/>
      <c r="G200" s="12" t="n"/>
      <c r="H200" s="12" t="n"/>
      <c r="I200" s="13" t="n"/>
      <c r="J200" s="13" t="n"/>
      <c r="K200" s="12" t="n"/>
      <c r="L200" s="13" t="n"/>
      <c r="M200" s="15">
        <f>IF($A200="","",IF($D200="",1,$D200)*$E200+$F200-$H200)</f>
        <v/>
      </c>
      <c r="N200" s="15">
        <f>IF($A200="","",IF($B200="Etsy",IF($D200="",1,$D200)*Settings!$C$19,0))</f>
        <v/>
      </c>
      <c r="O200" s="15">
        <f>IF($A200="","",IF($B200="Etsy",Settings!$C$20*($M200+IF(Settings!$C$54="Y",0,$H200)),0))</f>
        <v/>
      </c>
      <c r="P200" s="15">
        <f>IF($A200="","",IF($B200="Etsy",Settings!$C$21*$M200*(1+Settings!$C$55)+Settings!$C$22,IF($B200="Shopify",Settings!$C$14*$M200+Settings!$C$15,0)))</f>
        <v/>
      </c>
      <c r="Q200" s="15">
        <f>IF($A200="","",IF(AND($B200="Etsy",$I200="Y"),MIN(Settings!$C$12*($M200+IF(Settings!$C$54="Y",0,$H200)),Settings!$C$25),0))</f>
        <v/>
      </c>
      <c r="R200" s="15">
        <f>IF($A200="","",IF(AND($B200="Etsy",$J200="Y",$L200="Y",$M200&gt;0),($O200+Settings!$C$21*$M200*(1+Settings!$C$55)+IF(Settings!$C$59="Y",$Q200,0))*$T200/$M200+IF(AND(Settings!$C$58="Y",$T200&gt;=$M200),Settings!$C$22,0),0))</f>
        <v/>
      </c>
      <c r="S200" s="15">
        <f>IF($A200="","",$N200+$O200+$P200+$Q200-$R200)</f>
        <v/>
      </c>
      <c r="T200" s="15">
        <f>IF($A200="","",IF($J200="Y",IF($K200="",$M200,MIN($K200,$M200)),0))</f>
        <v/>
      </c>
      <c r="U200" s="15">
        <f>IF($A200="","",IF($D200="",1,$D200)*IFERROR(INDEX(Products!$F$5:$F$54,MATCH($C200,Products!$A$5:$A$54,0)),0))</f>
        <v/>
      </c>
      <c r="V200" s="27">
        <f>IF($A200="","",$M200-$T200-$S200-$U200-$G200)</f>
        <v/>
      </c>
      <c r="W200" s="31">
        <f>IF($A200="","",IF($M200-$T200&gt;0,$V200/($M200-$T200),""))</f>
        <v/>
      </c>
      <c r="X200" s="35">
        <f>IF($A200="","",DATE(YEAR($A200),MONTH($A200),1))</f>
        <v/>
      </c>
    </row>
    <row r="201">
      <c r="A201" s="18" t="n"/>
      <c r="B201" s="13" t="n"/>
      <c r="C201" s="13" t="n"/>
      <c r="D201" s="26" t="n"/>
      <c r="E201" s="12" t="n"/>
      <c r="F201" s="12" t="n"/>
      <c r="G201" s="12" t="n"/>
      <c r="H201" s="12" t="n"/>
      <c r="I201" s="13" t="n"/>
      <c r="J201" s="13" t="n"/>
      <c r="K201" s="12" t="n"/>
      <c r="L201" s="13" t="n"/>
      <c r="M201" s="15">
        <f>IF($A201="","",IF($D201="",1,$D201)*$E201+$F201-$H201)</f>
        <v/>
      </c>
      <c r="N201" s="15">
        <f>IF($A201="","",IF($B201="Etsy",IF($D201="",1,$D201)*Settings!$C$19,0))</f>
        <v/>
      </c>
      <c r="O201" s="15">
        <f>IF($A201="","",IF($B201="Etsy",Settings!$C$20*($M201+IF(Settings!$C$54="Y",0,$H201)),0))</f>
        <v/>
      </c>
      <c r="P201" s="15">
        <f>IF($A201="","",IF($B201="Etsy",Settings!$C$21*$M201*(1+Settings!$C$55)+Settings!$C$22,IF($B201="Shopify",Settings!$C$14*$M201+Settings!$C$15,0)))</f>
        <v/>
      </c>
      <c r="Q201" s="15">
        <f>IF($A201="","",IF(AND($B201="Etsy",$I201="Y"),MIN(Settings!$C$12*($M201+IF(Settings!$C$54="Y",0,$H201)),Settings!$C$25),0))</f>
        <v/>
      </c>
      <c r="R201" s="15">
        <f>IF($A201="","",IF(AND($B201="Etsy",$J201="Y",$L201="Y",$M201&gt;0),($O201+Settings!$C$21*$M201*(1+Settings!$C$55)+IF(Settings!$C$59="Y",$Q201,0))*$T201/$M201+IF(AND(Settings!$C$58="Y",$T201&gt;=$M201),Settings!$C$22,0),0))</f>
        <v/>
      </c>
      <c r="S201" s="15">
        <f>IF($A201="","",$N201+$O201+$P201+$Q201-$R201)</f>
        <v/>
      </c>
      <c r="T201" s="15">
        <f>IF($A201="","",IF($J201="Y",IF($K201="",$M201,MIN($K201,$M201)),0))</f>
        <v/>
      </c>
      <c r="U201" s="15">
        <f>IF($A201="","",IF($D201="",1,$D201)*IFERROR(INDEX(Products!$F$5:$F$54,MATCH($C201,Products!$A$5:$A$54,0)),0))</f>
        <v/>
      </c>
      <c r="V201" s="27">
        <f>IF($A201="","",$M201-$T201-$S201-$U201-$G201)</f>
        <v/>
      </c>
      <c r="W201" s="31">
        <f>IF($A201="","",IF($M201-$T201&gt;0,$V201/($M201-$T201),""))</f>
        <v/>
      </c>
      <c r="X201" s="35">
        <f>IF($A201="","",DATE(YEAR($A201),MONTH($A201),1))</f>
        <v/>
      </c>
    </row>
    <row r="202">
      <c r="A202" s="18" t="n"/>
      <c r="B202" s="13" t="n"/>
      <c r="C202" s="13" t="n"/>
      <c r="D202" s="26" t="n"/>
      <c r="E202" s="12" t="n"/>
      <c r="F202" s="12" t="n"/>
      <c r="G202" s="12" t="n"/>
      <c r="H202" s="12" t="n"/>
      <c r="I202" s="13" t="n"/>
      <c r="J202" s="13" t="n"/>
      <c r="K202" s="12" t="n"/>
      <c r="L202" s="13" t="n"/>
      <c r="M202" s="15">
        <f>IF($A202="","",IF($D202="",1,$D202)*$E202+$F202-$H202)</f>
        <v/>
      </c>
      <c r="N202" s="15">
        <f>IF($A202="","",IF($B202="Etsy",IF($D202="",1,$D202)*Settings!$C$19,0))</f>
        <v/>
      </c>
      <c r="O202" s="15">
        <f>IF($A202="","",IF($B202="Etsy",Settings!$C$20*($M202+IF(Settings!$C$54="Y",0,$H202)),0))</f>
        <v/>
      </c>
      <c r="P202" s="15">
        <f>IF($A202="","",IF($B202="Etsy",Settings!$C$21*$M202*(1+Settings!$C$55)+Settings!$C$22,IF($B202="Shopify",Settings!$C$14*$M202+Settings!$C$15,0)))</f>
        <v/>
      </c>
      <c r="Q202" s="15">
        <f>IF($A202="","",IF(AND($B202="Etsy",$I202="Y"),MIN(Settings!$C$12*($M202+IF(Settings!$C$54="Y",0,$H202)),Settings!$C$25),0))</f>
        <v/>
      </c>
      <c r="R202" s="15">
        <f>IF($A202="","",IF(AND($B202="Etsy",$J202="Y",$L202="Y",$M202&gt;0),($O202+Settings!$C$21*$M202*(1+Settings!$C$55)+IF(Settings!$C$59="Y",$Q202,0))*$T202/$M202+IF(AND(Settings!$C$58="Y",$T202&gt;=$M202),Settings!$C$22,0),0))</f>
        <v/>
      </c>
      <c r="S202" s="15">
        <f>IF($A202="","",$N202+$O202+$P202+$Q202-$R202)</f>
        <v/>
      </c>
      <c r="T202" s="15">
        <f>IF($A202="","",IF($J202="Y",IF($K202="",$M202,MIN($K202,$M202)),0))</f>
        <v/>
      </c>
      <c r="U202" s="15">
        <f>IF($A202="","",IF($D202="",1,$D202)*IFERROR(INDEX(Products!$F$5:$F$54,MATCH($C202,Products!$A$5:$A$54,0)),0))</f>
        <v/>
      </c>
      <c r="V202" s="27">
        <f>IF($A202="","",$M202-$T202-$S202-$U202-$G202)</f>
        <v/>
      </c>
      <c r="W202" s="31">
        <f>IF($A202="","",IF($M202-$T202&gt;0,$V202/($M202-$T202),""))</f>
        <v/>
      </c>
      <c r="X202" s="35">
        <f>IF($A202="","",DATE(YEAR($A202),MONTH($A202),1))</f>
        <v/>
      </c>
    </row>
    <row r="203">
      <c r="A203" s="18" t="n"/>
      <c r="B203" s="13" t="n"/>
      <c r="C203" s="13" t="n"/>
      <c r="D203" s="26" t="n"/>
      <c r="E203" s="12" t="n"/>
      <c r="F203" s="12" t="n"/>
      <c r="G203" s="12" t="n"/>
      <c r="H203" s="12" t="n"/>
      <c r="I203" s="13" t="n"/>
      <c r="J203" s="13" t="n"/>
      <c r="K203" s="12" t="n"/>
      <c r="L203" s="13" t="n"/>
      <c r="M203" s="15">
        <f>IF($A203="","",IF($D203="",1,$D203)*$E203+$F203-$H203)</f>
        <v/>
      </c>
      <c r="N203" s="15">
        <f>IF($A203="","",IF($B203="Etsy",IF($D203="",1,$D203)*Settings!$C$19,0))</f>
        <v/>
      </c>
      <c r="O203" s="15">
        <f>IF($A203="","",IF($B203="Etsy",Settings!$C$20*($M203+IF(Settings!$C$54="Y",0,$H203)),0))</f>
        <v/>
      </c>
      <c r="P203" s="15">
        <f>IF($A203="","",IF($B203="Etsy",Settings!$C$21*$M203*(1+Settings!$C$55)+Settings!$C$22,IF($B203="Shopify",Settings!$C$14*$M203+Settings!$C$15,0)))</f>
        <v/>
      </c>
      <c r="Q203" s="15">
        <f>IF($A203="","",IF(AND($B203="Etsy",$I203="Y"),MIN(Settings!$C$12*($M203+IF(Settings!$C$54="Y",0,$H203)),Settings!$C$25),0))</f>
        <v/>
      </c>
      <c r="R203" s="15">
        <f>IF($A203="","",IF(AND($B203="Etsy",$J203="Y",$L203="Y",$M203&gt;0),($O203+Settings!$C$21*$M203*(1+Settings!$C$55)+IF(Settings!$C$59="Y",$Q203,0))*$T203/$M203+IF(AND(Settings!$C$58="Y",$T203&gt;=$M203),Settings!$C$22,0),0))</f>
        <v/>
      </c>
      <c r="S203" s="15">
        <f>IF($A203="","",$N203+$O203+$P203+$Q203-$R203)</f>
        <v/>
      </c>
      <c r="T203" s="15">
        <f>IF($A203="","",IF($J203="Y",IF($K203="",$M203,MIN($K203,$M203)),0))</f>
        <v/>
      </c>
      <c r="U203" s="15">
        <f>IF($A203="","",IF($D203="",1,$D203)*IFERROR(INDEX(Products!$F$5:$F$54,MATCH($C203,Products!$A$5:$A$54,0)),0))</f>
        <v/>
      </c>
      <c r="V203" s="27">
        <f>IF($A203="","",$M203-$T203-$S203-$U203-$G203)</f>
        <v/>
      </c>
      <c r="W203" s="31">
        <f>IF($A203="","",IF($M203-$T203&gt;0,$V203/($M203-$T203),""))</f>
        <v/>
      </c>
      <c r="X203" s="35">
        <f>IF($A203="","",DATE(YEAR($A203),MONTH($A203),1))</f>
        <v/>
      </c>
    </row>
    <row r="204">
      <c r="A204" s="18" t="n"/>
      <c r="B204" s="13" t="n"/>
      <c r="C204" s="13" t="n"/>
      <c r="D204" s="26" t="n"/>
      <c r="E204" s="12" t="n"/>
      <c r="F204" s="12" t="n"/>
      <c r="G204" s="12" t="n"/>
      <c r="H204" s="12" t="n"/>
      <c r="I204" s="13" t="n"/>
      <c r="J204" s="13" t="n"/>
      <c r="K204" s="12" t="n"/>
      <c r="L204" s="13" t="n"/>
      <c r="M204" s="15">
        <f>IF($A204="","",IF($D204="",1,$D204)*$E204+$F204-$H204)</f>
        <v/>
      </c>
      <c r="N204" s="15">
        <f>IF($A204="","",IF($B204="Etsy",IF($D204="",1,$D204)*Settings!$C$19,0))</f>
        <v/>
      </c>
      <c r="O204" s="15">
        <f>IF($A204="","",IF($B204="Etsy",Settings!$C$20*($M204+IF(Settings!$C$54="Y",0,$H204)),0))</f>
        <v/>
      </c>
      <c r="P204" s="15">
        <f>IF($A204="","",IF($B204="Etsy",Settings!$C$21*$M204*(1+Settings!$C$55)+Settings!$C$22,IF($B204="Shopify",Settings!$C$14*$M204+Settings!$C$15,0)))</f>
        <v/>
      </c>
      <c r="Q204" s="15">
        <f>IF($A204="","",IF(AND($B204="Etsy",$I204="Y"),MIN(Settings!$C$12*($M204+IF(Settings!$C$54="Y",0,$H204)),Settings!$C$25),0))</f>
        <v/>
      </c>
      <c r="R204" s="15">
        <f>IF($A204="","",IF(AND($B204="Etsy",$J204="Y",$L204="Y",$M204&gt;0),($O204+Settings!$C$21*$M204*(1+Settings!$C$55)+IF(Settings!$C$59="Y",$Q204,0))*$T204/$M204+IF(AND(Settings!$C$58="Y",$T204&gt;=$M204),Settings!$C$22,0),0))</f>
        <v/>
      </c>
      <c r="S204" s="15">
        <f>IF($A204="","",$N204+$O204+$P204+$Q204-$R204)</f>
        <v/>
      </c>
      <c r="T204" s="15">
        <f>IF($A204="","",IF($J204="Y",IF($K204="",$M204,MIN($K204,$M204)),0))</f>
        <v/>
      </c>
      <c r="U204" s="15">
        <f>IF($A204="","",IF($D204="",1,$D204)*IFERROR(INDEX(Products!$F$5:$F$54,MATCH($C204,Products!$A$5:$A$54,0)),0))</f>
        <v/>
      </c>
      <c r="V204" s="27">
        <f>IF($A204="","",$M204-$T204-$S204-$U204-$G204)</f>
        <v/>
      </c>
      <c r="W204" s="31">
        <f>IF($A204="","",IF($M204-$T204&gt;0,$V204/($M204-$T204),""))</f>
        <v/>
      </c>
      <c r="X204" s="35">
        <f>IF($A204="","",DATE(YEAR($A204),MONTH($A204),1))</f>
        <v/>
      </c>
    </row>
    <row r="205">
      <c r="A205" s="18" t="n"/>
      <c r="B205" s="13" t="n"/>
      <c r="C205" s="13" t="n"/>
      <c r="D205" s="26" t="n"/>
      <c r="E205" s="12" t="n"/>
      <c r="F205" s="12" t="n"/>
      <c r="G205" s="12" t="n"/>
      <c r="H205" s="12" t="n"/>
      <c r="I205" s="13" t="n"/>
      <c r="J205" s="13" t="n"/>
      <c r="K205" s="12" t="n"/>
      <c r="L205" s="13" t="n"/>
      <c r="M205" s="15">
        <f>IF($A205="","",IF($D205="",1,$D205)*$E205+$F205-$H205)</f>
        <v/>
      </c>
      <c r="N205" s="15">
        <f>IF($A205="","",IF($B205="Etsy",IF($D205="",1,$D205)*Settings!$C$19,0))</f>
        <v/>
      </c>
      <c r="O205" s="15">
        <f>IF($A205="","",IF($B205="Etsy",Settings!$C$20*($M205+IF(Settings!$C$54="Y",0,$H205)),0))</f>
        <v/>
      </c>
      <c r="P205" s="15">
        <f>IF($A205="","",IF($B205="Etsy",Settings!$C$21*$M205*(1+Settings!$C$55)+Settings!$C$22,IF($B205="Shopify",Settings!$C$14*$M205+Settings!$C$15,0)))</f>
        <v/>
      </c>
      <c r="Q205" s="15">
        <f>IF($A205="","",IF(AND($B205="Etsy",$I205="Y"),MIN(Settings!$C$12*($M205+IF(Settings!$C$54="Y",0,$H205)),Settings!$C$25),0))</f>
        <v/>
      </c>
      <c r="R205" s="15">
        <f>IF($A205="","",IF(AND($B205="Etsy",$J205="Y",$L205="Y",$M205&gt;0),($O205+Settings!$C$21*$M205*(1+Settings!$C$55)+IF(Settings!$C$59="Y",$Q205,0))*$T205/$M205+IF(AND(Settings!$C$58="Y",$T205&gt;=$M205),Settings!$C$22,0),0))</f>
        <v/>
      </c>
      <c r="S205" s="15">
        <f>IF($A205="","",$N205+$O205+$P205+$Q205-$R205)</f>
        <v/>
      </c>
      <c r="T205" s="15">
        <f>IF($A205="","",IF($J205="Y",IF($K205="",$M205,MIN($K205,$M205)),0))</f>
        <v/>
      </c>
      <c r="U205" s="15">
        <f>IF($A205="","",IF($D205="",1,$D205)*IFERROR(INDEX(Products!$F$5:$F$54,MATCH($C205,Products!$A$5:$A$54,0)),0))</f>
        <v/>
      </c>
      <c r="V205" s="27">
        <f>IF($A205="","",$M205-$T205-$S205-$U205-$G205)</f>
        <v/>
      </c>
      <c r="W205" s="31">
        <f>IF($A205="","",IF($M205-$T205&gt;0,$V205/($M205-$T205),""))</f>
        <v/>
      </c>
      <c r="X205" s="35">
        <f>IF($A205="","",DATE(YEAR($A205),MONTH($A205),1))</f>
        <v/>
      </c>
    </row>
    <row r="206">
      <c r="A206" s="18" t="n"/>
      <c r="B206" s="13" t="n"/>
      <c r="C206" s="13" t="n"/>
      <c r="D206" s="26" t="n"/>
      <c r="E206" s="12" t="n"/>
      <c r="F206" s="12" t="n"/>
      <c r="G206" s="12" t="n"/>
      <c r="H206" s="12" t="n"/>
      <c r="I206" s="13" t="n"/>
      <c r="J206" s="13" t="n"/>
      <c r="K206" s="12" t="n"/>
      <c r="L206" s="13" t="n"/>
      <c r="M206" s="15">
        <f>IF($A206="","",IF($D206="",1,$D206)*$E206+$F206-$H206)</f>
        <v/>
      </c>
      <c r="N206" s="15">
        <f>IF($A206="","",IF($B206="Etsy",IF($D206="",1,$D206)*Settings!$C$19,0))</f>
        <v/>
      </c>
      <c r="O206" s="15">
        <f>IF($A206="","",IF($B206="Etsy",Settings!$C$20*($M206+IF(Settings!$C$54="Y",0,$H206)),0))</f>
        <v/>
      </c>
      <c r="P206" s="15">
        <f>IF($A206="","",IF($B206="Etsy",Settings!$C$21*$M206*(1+Settings!$C$55)+Settings!$C$22,IF($B206="Shopify",Settings!$C$14*$M206+Settings!$C$15,0)))</f>
        <v/>
      </c>
      <c r="Q206" s="15">
        <f>IF($A206="","",IF(AND($B206="Etsy",$I206="Y"),MIN(Settings!$C$12*($M206+IF(Settings!$C$54="Y",0,$H206)),Settings!$C$25),0))</f>
        <v/>
      </c>
      <c r="R206" s="15">
        <f>IF($A206="","",IF(AND($B206="Etsy",$J206="Y",$L206="Y",$M206&gt;0),($O206+Settings!$C$21*$M206*(1+Settings!$C$55)+IF(Settings!$C$59="Y",$Q206,0))*$T206/$M206+IF(AND(Settings!$C$58="Y",$T206&gt;=$M206),Settings!$C$22,0),0))</f>
        <v/>
      </c>
      <c r="S206" s="15">
        <f>IF($A206="","",$N206+$O206+$P206+$Q206-$R206)</f>
        <v/>
      </c>
      <c r="T206" s="15">
        <f>IF($A206="","",IF($J206="Y",IF($K206="",$M206,MIN($K206,$M206)),0))</f>
        <v/>
      </c>
      <c r="U206" s="15">
        <f>IF($A206="","",IF($D206="",1,$D206)*IFERROR(INDEX(Products!$F$5:$F$54,MATCH($C206,Products!$A$5:$A$54,0)),0))</f>
        <v/>
      </c>
      <c r="V206" s="27">
        <f>IF($A206="","",$M206-$T206-$S206-$U206-$G206)</f>
        <v/>
      </c>
      <c r="W206" s="31">
        <f>IF($A206="","",IF($M206-$T206&gt;0,$V206/($M206-$T206),""))</f>
        <v/>
      </c>
      <c r="X206" s="35">
        <f>IF($A206="","",DATE(YEAR($A206),MONTH($A206),1))</f>
        <v/>
      </c>
    </row>
    <row r="207">
      <c r="A207" s="18" t="n"/>
      <c r="B207" s="13" t="n"/>
      <c r="C207" s="13" t="n"/>
      <c r="D207" s="26" t="n"/>
      <c r="E207" s="12" t="n"/>
      <c r="F207" s="12" t="n"/>
      <c r="G207" s="12" t="n"/>
      <c r="H207" s="12" t="n"/>
      <c r="I207" s="13" t="n"/>
      <c r="J207" s="13" t="n"/>
      <c r="K207" s="12" t="n"/>
      <c r="L207" s="13" t="n"/>
      <c r="M207" s="15">
        <f>IF($A207="","",IF($D207="",1,$D207)*$E207+$F207-$H207)</f>
        <v/>
      </c>
      <c r="N207" s="15">
        <f>IF($A207="","",IF($B207="Etsy",IF($D207="",1,$D207)*Settings!$C$19,0))</f>
        <v/>
      </c>
      <c r="O207" s="15">
        <f>IF($A207="","",IF($B207="Etsy",Settings!$C$20*($M207+IF(Settings!$C$54="Y",0,$H207)),0))</f>
        <v/>
      </c>
      <c r="P207" s="15">
        <f>IF($A207="","",IF($B207="Etsy",Settings!$C$21*$M207*(1+Settings!$C$55)+Settings!$C$22,IF($B207="Shopify",Settings!$C$14*$M207+Settings!$C$15,0)))</f>
        <v/>
      </c>
      <c r="Q207" s="15">
        <f>IF($A207="","",IF(AND($B207="Etsy",$I207="Y"),MIN(Settings!$C$12*($M207+IF(Settings!$C$54="Y",0,$H207)),Settings!$C$25),0))</f>
        <v/>
      </c>
      <c r="R207" s="15">
        <f>IF($A207="","",IF(AND($B207="Etsy",$J207="Y",$L207="Y",$M207&gt;0),($O207+Settings!$C$21*$M207*(1+Settings!$C$55)+IF(Settings!$C$59="Y",$Q207,0))*$T207/$M207+IF(AND(Settings!$C$58="Y",$T207&gt;=$M207),Settings!$C$22,0),0))</f>
        <v/>
      </c>
      <c r="S207" s="15">
        <f>IF($A207="","",$N207+$O207+$P207+$Q207-$R207)</f>
        <v/>
      </c>
      <c r="T207" s="15">
        <f>IF($A207="","",IF($J207="Y",IF($K207="",$M207,MIN($K207,$M207)),0))</f>
        <v/>
      </c>
      <c r="U207" s="15">
        <f>IF($A207="","",IF($D207="",1,$D207)*IFERROR(INDEX(Products!$F$5:$F$54,MATCH($C207,Products!$A$5:$A$54,0)),0))</f>
        <v/>
      </c>
      <c r="V207" s="27">
        <f>IF($A207="","",$M207-$T207-$S207-$U207-$G207)</f>
        <v/>
      </c>
      <c r="W207" s="31">
        <f>IF($A207="","",IF($M207-$T207&gt;0,$V207/($M207-$T207),""))</f>
        <v/>
      </c>
      <c r="X207" s="35">
        <f>IF($A207="","",DATE(YEAR($A207),MONTH($A207),1))</f>
        <v/>
      </c>
    </row>
    <row r="208">
      <c r="A208" s="18" t="n"/>
      <c r="B208" s="13" t="n"/>
      <c r="C208" s="13" t="n"/>
      <c r="D208" s="26" t="n"/>
      <c r="E208" s="12" t="n"/>
      <c r="F208" s="12" t="n"/>
      <c r="G208" s="12" t="n"/>
      <c r="H208" s="12" t="n"/>
      <c r="I208" s="13" t="n"/>
      <c r="J208" s="13" t="n"/>
      <c r="K208" s="12" t="n"/>
      <c r="L208" s="13" t="n"/>
      <c r="M208" s="15">
        <f>IF($A208="","",IF($D208="",1,$D208)*$E208+$F208-$H208)</f>
        <v/>
      </c>
      <c r="N208" s="15">
        <f>IF($A208="","",IF($B208="Etsy",IF($D208="",1,$D208)*Settings!$C$19,0))</f>
        <v/>
      </c>
      <c r="O208" s="15">
        <f>IF($A208="","",IF($B208="Etsy",Settings!$C$20*($M208+IF(Settings!$C$54="Y",0,$H208)),0))</f>
        <v/>
      </c>
      <c r="P208" s="15">
        <f>IF($A208="","",IF($B208="Etsy",Settings!$C$21*$M208*(1+Settings!$C$55)+Settings!$C$22,IF($B208="Shopify",Settings!$C$14*$M208+Settings!$C$15,0)))</f>
        <v/>
      </c>
      <c r="Q208" s="15">
        <f>IF($A208="","",IF(AND($B208="Etsy",$I208="Y"),MIN(Settings!$C$12*($M208+IF(Settings!$C$54="Y",0,$H208)),Settings!$C$25),0))</f>
        <v/>
      </c>
      <c r="R208" s="15">
        <f>IF($A208="","",IF(AND($B208="Etsy",$J208="Y",$L208="Y",$M208&gt;0),($O208+Settings!$C$21*$M208*(1+Settings!$C$55)+IF(Settings!$C$59="Y",$Q208,0))*$T208/$M208+IF(AND(Settings!$C$58="Y",$T208&gt;=$M208),Settings!$C$22,0),0))</f>
        <v/>
      </c>
      <c r="S208" s="15">
        <f>IF($A208="","",$N208+$O208+$P208+$Q208-$R208)</f>
        <v/>
      </c>
      <c r="T208" s="15">
        <f>IF($A208="","",IF($J208="Y",IF($K208="",$M208,MIN($K208,$M208)),0))</f>
        <v/>
      </c>
      <c r="U208" s="15">
        <f>IF($A208="","",IF($D208="",1,$D208)*IFERROR(INDEX(Products!$F$5:$F$54,MATCH($C208,Products!$A$5:$A$54,0)),0))</f>
        <v/>
      </c>
      <c r="V208" s="27">
        <f>IF($A208="","",$M208-$T208-$S208-$U208-$G208)</f>
        <v/>
      </c>
      <c r="W208" s="31">
        <f>IF($A208="","",IF($M208-$T208&gt;0,$V208/($M208-$T208),""))</f>
        <v/>
      </c>
      <c r="X208" s="35">
        <f>IF($A208="","",DATE(YEAR($A208),MONTH($A208),1))</f>
        <v/>
      </c>
    </row>
    <row r="209">
      <c r="A209" s="18" t="n"/>
      <c r="B209" s="13" t="n"/>
      <c r="C209" s="13" t="n"/>
      <c r="D209" s="26" t="n"/>
      <c r="E209" s="12" t="n"/>
      <c r="F209" s="12" t="n"/>
      <c r="G209" s="12" t="n"/>
      <c r="H209" s="12" t="n"/>
      <c r="I209" s="13" t="n"/>
      <c r="J209" s="13" t="n"/>
      <c r="K209" s="12" t="n"/>
      <c r="L209" s="13" t="n"/>
      <c r="M209" s="15">
        <f>IF($A209="","",IF($D209="",1,$D209)*$E209+$F209-$H209)</f>
        <v/>
      </c>
      <c r="N209" s="15">
        <f>IF($A209="","",IF($B209="Etsy",IF($D209="",1,$D209)*Settings!$C$19,0))</f>
        <v/>
      </c>
      <c r="O209" s="15">
        <f>IF($A209="","",IF($B209="Etsy",Settings!$C$20*($M209+IF(Settings!$C$54="Y",0,$H209)),0))</f>
        <v/>
      </c>
      <c r="P209" s="15">
        <f>IF($A209="","",IF($B209="Etsy",Settings!$C$21*$M209*(1+Settings!$C$55)+Settings!$C$22,IF($B209="Shopify",Settings!$C$14*$M209+Settings!$C$15,0)))</f>
        <v/>
      </c>
      <c r="Q209" s="15">
        <f>IF($A209="","",IF(AND($B209="Etsy",$I209="Y"),MIN(Settings!$C$12*($M209+IF(Settings!$C$54="Y",0,$H209)),Settings!$C$25),0))</f>
        <v/>
      </c>
      <c r="R209" s="15">
        <f>IF($A209="","",IF(AND($B209="Etsy",$J209="Y",$L209="Y",$M209&gt;0),($O209+Settings!$C$21*$M209*(1+Settings!$C$55)+IF(Settings!$C$59="Y",$Q209,0))*$T209/$M209+IF(AND(Settings!$C$58="Y",$T209&gt;=$M209),Settings!$C$22,0),0))</f>
        <v/>
      </c>
      <c r="S209" s="15">
        <f>IF($A209="","",$N209+$O209+$P209+$Q209-$R209)</f>
        <v/>
      </c>
      <c r="T209" s="15">
        <f>IF($A209="","",IF($J209="Y",IF($K209="",$M209,MIN($K209,$M209)),0))</f>
        <v/>
      </c>
      <c r="U209" s="15">
        <f>IF($A209="","",IF($D209="",1,$D209)*IFERROR(INDEX(Products!$F$5:$F$54,MATCH($C209,Products!$A$5:$A$54,0)),0))</f>
        <v/>
      </c>
      <c r="V209" s="27">
        <f>IF($A209="","",$M209-$T209-$S209-$U209-$G209)</f>
        <v/>
      </c>
      <c r="W209" s="31">
        <f>IF($A209="","",IF($M209-$T209&gt;0,$V209/($M209-$T209),""))</f>
        <v/>
      </c>
      <c r="X209" s="35">
        <f>IF($A209="","",DATE(YEAR($A209),MONTH($A209),1))</f>
        <v/>
      </c>
    </row>
    <row r="210">
      <c r="A210" s="18" t="n"/>
      <c r="B210" s="13" t="n"/>
      <c r="C210" s="13" t="n"/>
      <c r="D210" s="26" t="n"/>
      <c r="E210" s="12" t="n"/>
      <c r="F210" s="12" t="n"/>
      <c r="G210" s="12" t="n"/>
      <c r="H210" s="12" t="n"/>
      <c r="I210" s="13" t="n"/>
      <c r="J210" s="13" t="n"/>
      <c r="K210" s="12" t="n"/>
      <c r="L210" s="13" t="n"/>
      <c r="M210" s="15">
        <f>IF($A210="","",IF($D210="",1,$D210)*$E210+$F210-$H210)</f>
        <v/>
      </c>
      <c r="N210" s="15">
        <f>IF($A210="","",IF($B210="Etsy",IF($D210="",1,$D210)*Settings!$C$19,0))</f>
        <v/>
      </c>
      <c r="O210" s="15">
        <f>IF($A210="","",IF($B210="Etsy",Settings!$C$20*($M210+IF(Settings!$C$54="Y",0,$H210)),0))</f>
        <v/>
      </c>
      <c r="P210" s="15">
        <f>IF($A210="","",IF($B210="Etsy",Settings!$C$21*$M210*(1+Settings!$C$55)+Settings!$C$22,IF($B210="Shopify",Settings!$C$14*$M210+Settings!$C$15,0)))</f>
        <v/>
      </c>
      <c r="Q210" s="15">
        <f>IF($A210="","",IF(AND($B210="Etsy",$I210="Y"),MIN(Settings!$C$12*($M210+IF(Settings!$C$54="Y",0,$H210)),Settings!$C$25),0))</f>
        <v/>
      </c>
      <c r="R210" s="15">
        <f>IF($A210="","",IF(AND($B210="Etsy",$J210="Y",$L210="Y",$M210&gt;0),($O210+Settings!$C$21*$M210*(1+Settings!$C$55)+IF(Settings!$C$59="Y",$Q210,0))*$T210/$M210+IF(AND(Settings!$C$58="Y",$T210&gt;=$M210),Settings!$C$22,0),0))</f>
        <v/>
      </c>
      <c r="S210" s="15">
        <f>IF($A210="","",$N210+$O210+$P210+$Q210-$R210)</f>
        <v/>
      </c>
      <c r="T210" s="15">
        <f>IF($A210="","",IF($J210="Y",IF($K210="",$M210,MIN($K210,$M210)),0))</f>
        <v/>
      </c>
      <c r="U210" s="15">
        <f>IF($A210="","",IF($D210="",1,$D210)*IFERROR(INDEX(Products!$F$5:$F$54,MATCH($C210,Products!$A$5:$A$54,0)),0))</f>
        <v/>
      </c>
      <c r="V210" s="27">
        <f>IF($A210="","",$M210-$T210-$S210-$U210-$G210)</f>
        <v/>
      </c>
      <c r="W210" s="31">
        <f>IF($A210="","",IF($M210-$T210&gt;0,$V210/($M210-$T210),""))</f>
        <v/>
      </c>
      <c r="X210" s="35">
        <f>IF($A210="","",DATE(YEAR($A210),MONTH($A210),1))</f>
        <v/>
      </c>
    </row>
    <row r="211">
      <c r="A211" s="18" t="n"/>
      <c r="B211" s="13" t="n"/>
      <c r="C211" s="13" t="n"/>
      <c r="D211" s="26" t="n"/>
      <c r="E211" s="12" t="n"/>
      <c r="F211" s="12" t="n"/>
      <c r="G211" s="12" t="n"/>
      <c r="H211" s="12" t="n"/>
      <c r="I211" s="13" t="n"/>
      <c r="J211" s="13" t="n"/>
      <c r="K211" s="12" t="n"/>
      <c r="L211" s="13" t="n"/>
      <c r="M211" s="15">
        <f>IF($A211="","",IF($D211="",1,$D211)*$E211+$F211-$H211)</f>
        <v/>
      </c>
      <c r="N211" s="15">
        <f>IF($A211="","",IF($B211="Etsy",IF($D211="",1,$D211)*Settings!$C$19,0))</f>
        <v/>
      </c>
      <c r="O211" s="15">
        <f>IF($A211="","",IF($B211="Etsy",Settings!$C$20*($M211+IF(Settings!$C$54="Y",0,$H211)),0))</f>
        <v/>
      </c>
      <c r="P211" s="15">
        <f>IF($A211="","",IF($B211="Etsy",Settings!$C$21*$M211*(1+Settings!$C$55)+Settings!$C$22,IF($B211="Shopify",Settings!$C$14*$M211+Settings!$C$15,0)))</f>
        <v/>
      </c>
      <c r="Q211" s="15">
        <f>IF($A211="","",IF(AND($B211="Etsy",$I211="Y"),MIN(Settings!$C$12*($M211+IF(Settings!$C$54="Y",0,$H211)),Settings!$C$25),0))</f>
        <v/>
      </c>
      <c r="R211" s="15">
        <f>IF($A211="","",IF(AND($B211="Etsy",$J211="Y",$L211="Y",$M211&gt;0),($O211+Settings!$C$21*$M211*(1+Settings!$C$55)+IF(Settings!$C$59="Y",$Q211,0))*$T211/$M211+IF(AND(Settings!$C$58="Y",$T211&gt;=$M211),Settings!$C$22,0),0))</f>
        <v/>
      </c>
      <c r="S211" s="15">
        <f>IF($A211="","",$N211+$O211+$P211+$Q211-$R211)</f>
        <v/>
      </c>
      <c r="T211" s="15">
        <f>IF($A211="","",IF($J211="Y",IF($K211="",$M211,MIN($K211,$M211)),0))</f>
        <v/>
      </c>
      <c r="U211" s="15">
        <f>IF($A211="","",IF($D211="",1,$D211)*IFERROR(INDEX(Products!$F$5:$F$54,MATCH($C211,Products!$A$5:$A$54,0)),0))</f>
        <v/>
      </c>
      <c r="V211" s="27">
        <f>IF($A211="","",$M211-$T211-$S211-$U211-$G211)</f>
        <v/>
      </c>
      <c r="W211" s="31">
        <f>IF($A211="","",IF($M211-$T211&gt;0,$V211/($M211-$T211),""))</f>
        <v/>
      </c>
      <c r="X211" s="35">
        <f>IF($A211="","",DATE(YEAR($A211),MONTH($A211),1))</f>
        <v/>
      </c>
    </row>
    <row r="212">
      <c r="A212" s="18" t="n"/>
      <c r="B212" s="13" t="n"/>
      <c r="C212" s="13" t="n"/>
      <c r="D212" s="26" t="n"/>
      <c r="E212" s="12" t="n"/>
      <c r="F212" s="12" t="n"/>
      <c r="G212" s="12" t="n"/>
      <c r="H212" s="12" t="n"/>
      <c r="I212" s="13" t="n"/>
      <c r="J212" s="13" t="n"/>
      <c r="K212" s="12" t="n"/>
      <c r="L212" s="13" t="n"/>
      <c r="M212" s="15">
        <f>IF($A212="","",IF($D212="",1,$D212)*$E212+$F212-$H212)</f>
        <v/>
      </c>
      <c r="N212" s="15">
        <f>IF($A212="","",IF($B212="Etsy",IF($D212="",1,$D212)*Settings!$C$19,0))</f>
        <v/>
      </c>
      <c r="O212" s="15">
        <f>IF($A212="","",IF($B212="Etsy",Settings!$C$20*($M212+IF(Settings!$C$54="Y",0,$H212)),0))</f>
        <v/>
      </c>
      <c r="P212" s="15">
        <f>IF($A212="","",IF($B212="Etsy",Settings!$C$21*$M212*(1+Settings!$C$55)+Settings!$C$22,IF($B212="Shopify",Settings!$C$14*$M212+Settings!$C$15,0)))</f>
        <v/>
      </c>
      <c r="Q212" s="15">
        <f>IF($A212="","",IF(AND($B212="Etsy",$I212="Y"),MIN(Settings!$C$12*($M212+IF(Settings!$C$54="Y",0,$H212)),Settings!$C$25),0))</f>
        <v/>
      </c>
      <c r="R212" s="15">
        <f>IF($A212="","",IF(AND($B212="Etsy",$J212="Y",$L212="Y",$M212&gt;0),($O212+Settings!$C$21*$M212*(1+Settings!$C$55)+IF(Settings!$C$59="Y",$Q212,0))*$T212/$M212+IF(AND(Settings!$C$58="Y",$T212&gt;=$M212),Settings!$C$22,0),0))</f>
        <v/>
      </c>
      <c r="S212" s="15">
        <f>IF($A212="","",$N212+$O212+$P212+$Q212-$R212)</f>
        <v/>
      </c>
      <c r="T212" s="15">
        <f>IF($A212="","",IF($J212="Y",IF($K212="",$M212,MIN($K212,$M212)),0))</f>
        <v/>
      </c>
      <c r="U212" s="15">
        <f>IF($A212="","",IF($D212="",1,$D212)*IFERROR(INDEX(Products!$F$5:$F$54,MATCH($C212,Products!$A$5:$A$54,0)),0))</f>
        <v/>
      </c>
      <c r="V212" s="27">
        <f>IF($A212="","",$M212-$T212-$S212-$U212-$G212)</f>
        <v/>
      </c>
      <c r="W212" s="31">
        <f>IF($A212="","",IF($M212-$T212&gt;0,$V212/($M212-$T212),""))</f>
        <v/>
      </c>
      <c r="X212" s="35">
        <f>IF($A212="","",DATE(YEAR($A212),MONTH($A212),1))</f>
        <v/>
      </c>
    </row>
    <row r="213">
      <c r="A213" s="18" t="n"/>
      <c r="B213" s="13" t="n"/>
      <c r="C213" s="13" t="n"/>
      <c r="D213" s="26" t="n"/>
      <c r="E213" s="12" t="n"/>
      <c r="F213" s="12" t="n"/>
      <c r="G213" s="12" t="n"/>
      <c r="H213" s="12" t="n"/>
      <c r="I213" s="13" t="n"/>
      <c r="J213" s="13" t="n"/>
      <c r="K213" s="12" t="n"/>
      <c r="L213" s="13" t="n"/>
      <c r="M213" s="15">
        <f>IF($A213="","",IF($D213="",1,$D213)*$E213+$F213-$H213)</f>
        <v/>
      </c>
      <c r="N213" s="15">
        <f>IF($A213="","",IF($B213="Etsy",IF($D213="",1,$D213)*Settings!$C$19,0))</f>
        <v/>
      </c>
      <c r="O213" s="15">
        <f>IF($A213="","",IF($B213="Etsy",Settings!$C$20*($M213+IF(Settings!$C$54="Y",0,$H213)),0))</f>
        <v/>
      </c>
      <c r="P213" s="15">
        <f>IF($A213="","",IF($B213="Etsy",Settings!$C$21*$M213*(1+Settings!$C$55)+Settings!$C$22,IF($B213="Shopify",Settings!$C$14*$M213+Settings!$C$15,0)))</f>
        <v/>
      </c>
      <c r="Q213" s="15">
        <f>IF($A213="","",IF(AND($B213="Etsy",$I213="Y"),MIN(Settings!$C$12*($M213+IF(Settings!$C$54="Y",0,$H213)),Settings!$C$25),0))</f>
        <v/>
      </c>
      <c r="R213" s="15">
        <f>IF($A213="","",IF(AND($B213="Etsy",$J213="Y",$L213="Y",$M213&gt;0),($O213+Settings!$C$21*$M213*(1+Settings!$C$55)+IF(Settings!$C$59="Y",$Q213,0))*$T213/$M213+IF(AND(Settings!$C$58="Y",$T213&gt;=$M213),Settings!$C$22,0),0))</f>
        <v/>
      </c>
      <c r="S213" s="15">
        <f>IF($A213="","",$N213+$O213+$P213+$Q213-$R213)</f>
        <v/>
      </c>
      <c r="T213" s="15">
        <f>IF($A213="","",IF($J213="Y",IF($K213="",$M213,MIN($K213,$M213)),0))</f>
        <v/>
      </c>
      <c r="U213" s="15">
        <f>IF($A213="","",IF($D213="",1,$D213)*IFERROR(INDEX(Products!$F$5:$F$54,MATCH($C213,Products!$A$5:$A$54,0)),0))</f>
        <v/>
      </c>
      <c r="V213" s="27">
        <f>IF($A213="","",$M213-$T213-$S213-$U213-$G213)</f>
        <v/>
      </c>
      <c r="W213" s="31">
        <f>IF($A213="","",IF($M213-$T213&gt;0,$V213/($M213-$T213),""))</f>
        <v/>
      </c>
      <c r="X213" s="35">
        <f>IF($A213="","",DATE(YEAR($A213),MONTH($A213),1))</f>
        <v/>
      </c>
    </row>
    <row r="214">
      <c r="A214" s="18" t="n"/>
      <c r="B214" s="13" t="n"/>
      <c r="C214" s="13" t="n"/>
      <c r="D214" s="26" t="n"/>
      <c r="E214" s="12" t="n"/>
      <c r="F214" s="12" t="n"/>
      <c r="G214" s="12" t="n"/>
      <c r="H214" s="12" t="n"/>
      <c r="I214" s="13" t="n"/>
      <c r="J214" s="13" t="n"/>
      <c r="K214" s="12" t="n"/>
      <c r="L214" s="13" t="n"/>
      <c r="M214" s="15">
        <f>IF($A214="","",IF($D214="",1,$D214)*$E214+$F214-$H214)</f>
        <v/>
      </c>
      <c r="N214" s="15">
        <f>IF($A214="","",IF($B214="Etsy",IF($D214="",1,$D214)*Settings!$C$19,0))</f>
        <v/>
      </c>
      <c r="O214" s="15">
        <f>IF($A214="","",IF($B214="Etsy",Settings!$C$20*($M214+IF(Settings!$C$54="Y",0,$H214)),0))</f>
        <v/>
      </c>
      <c r="P214" s="15">
        <f>IF($A214="","",IF($B214="Etsy",Settings!$C$21*$M214*(1+Settings!$C$55)+Settings!$C$22,IF($B214="Shopify",Settings!$C$14*$M214+Settings!$C$15,0)))</f>
        <v/>
      </c>
      <c r="Q214" s="15">
        <f>IF($A214="","",IF(AND($B214="Etsy",$I214="Y"),MIN(Settings!$C$12*($M214+IF(Settings!$C$54="Y",0,$H214)),Settings!$C$25),0))</f>
        <v/>
      </c>
      <c r="R214" s="15">
        <f>IF($A214="","",IF(AND($B214="Etsy",$J214="Y",$L214="Y",$M214&gt;0),($O214+Settings!$C$21*$M214*(1+Settings!$C$55)+IF(Settings!$C$59="Y",$Q214,0))*$T214/$M214+IF(AND(Settings!$C$58="Y",$T214&gt;=$M214),Settings!$C$22,0),0))</f>
        <v/>
      </c>
      <c r="S214" s="15">
        <f>IF($A214="","",$N214+$O214+$P214+$Q214-$R214)</f>
        <v/>
      </c>
      <c r="T214" s="15">
        <f>IF($A214="","",IF($J214="Y",IF($K214="",$M214,MIN($K214,$M214)),0))</f>
        <v/>
      </c>
      <c r="U214" s="15">
        <f>IF($A214="","",IF($D214="",1,$D214)*IFERROR(INDEX(Products!$F$5:$F$54,MATCH($C214,Products!$A$5:$A$54,0)),0))</f>
        <v/>
      </c>
      <c r="V214" s="27">
        <f>IF($A214="","",$M214-$T214-$S214-$U214-$G214)</f>
        <v/>
      </c>
      <c r="W214" s="31">
        <f>IF($A214="","",IF($M214-$T214&gt;0,$V214/($M214-$T214),""))</f>
        <v/>
      </c>
      <c r="X214" s="35">
        <f>IF($A214="","",DATE(YEAR($A214),MONTH($A214),1))</f>
        <v/>
      </c>
    </row>
    <row r="215">
      <c r="A215" s="18" t="n"/>
      <c r="B215" s="13" t="n"/>
      <c r="C215" s="13" t="n"/>
      <c r="D215" s="26" t="n"/>
      <c r="E215" s="12" t="n"/>
      <c r="F215" s="12" t="n"/>
      <c r="G215" s="12" t="n"/>
      <c r="H215" s="12" t="n"/>
      <c r="I215" s="13" t="n"/>
      <c r="J215" s="13" t="n"/>
      <c r="K215" s="12" t="n"/>
      <c r="L215" s="13" t="n"/>
      <c r="M215" s="15">
        <f>IF($A215="","",IF($D215="",1,$D215)*$E215+$F215-$H215)</f>
        <v/>
      </c>
      <c r="N215" s="15">
        <f>IF($A215="","",IF($B215="Etsy",IF($D215="",1,$D215)*Settings!$C$19,0))</f>
        <v/>
      </c>
      <c r="O215" s="15">
        <f>IF($A215="","",IF($B215="Etsy",Settings!$C$20*($M215+IF(Settings!$C$54="Y",0,$H215)),0))</f>
        <v/>
      </c>
      <c r="P215" s="15">
        <f>IF($A215="","",IF($B215="Etsy",Settings!$C$21*$M215*(1+Settings!$C$55)+Settings!$C$22,IF($B215="Shopify",Settings!$C$14*$M215+Settings!$C$15,0)))</f>
        <v/>
      </c>
      <c r="Q215" s="15">
        <f>IF($A215="","",IF(AND($B215="Etsy",$I215="Y"),MIN(Settings!$C$12*($M215+IF(Settings!$C$54="Y",0,$H215)),Settings!$C$25),0))</f>
        <v/>
      </c>
      <c r="R215" s="15">
        <f>IF($A215="","",IF(AND($B215="Etsy",$J215="Y",$L215="Y",$M215&gt;0),($O215+Settings!$C$21*$M215*(1+Settings!$C$55)+IF(Settings!$C$59="Y",$Q215,0))*$T215/$M215+IF(AND(Settings!$C$58="Y",$T215&gt;=$M215),Settings!$C$22,0),0))</f>
        <v/>
      </c>
      <c r="S215" s="15">
        <f>IF($A215="","",$N215+$O215+$P215+$Q215-$R215)</f>
        <v/>
      </c>
      <c r="T215" s="15">
        <f>IF($A215="","",IF($J215="Y",IF($K215="",$M215,MIN($K215,$M215)),0))</f>
        <v/>
      </c>
      <c r="U215" s="15">
        <f>IF($A215="","",IF($D215="",1,$D215)*IFERROR(INDEX(Products!$F$5:$F$54,MATCH($C215,Products!$A$5:$A$54,0)),0))</f>
        <v/>
      </c>
      <c r="V215" s="27">
        <f>IF($A215="","",$M215-$T215-$S215-$U215-$G215)</f>
        <v/>
      </c>
      <c r="W215" s="31">
        <f>IF($A215="","",IF($M215-$T215&gt;0,$V215/($M215-$T215),""))</f>
        <v/>
      </c>
      <c r="X215" s="35">
        <f>IF($A215="","",DATE(YEAR($A215),MONTH($A215),1))</f>
        <v/>
      </c>
    </row>
    <row r="216">
      <c r="A216" s="18" t="n"/>
      <c r="B216" s="13" t="n"/>
      <c r="C216" s="13" t="n"/>
      <c r="D216" s="26" t="n"/>
      <c r="E216" s="12" t="n"/>
      <c r="F216" s="12" t="n"/>
      <c r="G216" s="12" t="n"/>
      <c r="H216" s="12" t="n"/>
      <c r="I216" s="13" t="n"/>
      <c r="J216" s="13" t="n"/>
      <c r="K216" s="12" t="n"/>
      <c r="L216" s="13" t="n"/>
      <c r="M216" s="15">
        <f>IF($A216="","",IF($D216="",1,$D216)*$E216+$F216-$H216)</f>
        <v/>
      </c>
      <c r="N216" s="15">
        <f>IF($A216="","",IF($B216="Etsy",IF($D216="",1,$D216)*Settings!$C$19,0))</f>
        <v/>
      </c>
      <c r="O216" s="15">
        <f>IF($A216="","",IF($B216="Etsy",Settings!$C$20*($M216+IF(Settings!$C$54="Y",0,$H216)),0))</f>
        <v/>
      </c>
      <c r="P216" s="15">
        <f>IF($A216="","",IF($B216="Etsy",Settings!$C$21*$M216*(1+Settings!$C$55)+Settings!$C$22,IF($B216="Shopify",Settings!$C$14*$M216+Settings!$C$15,0)))</f>
        <v/>
      </c>
      <c r="Q216" s="15">
        <f>IF($A216="","",IF(AND($B216="Etsy",$I216="Y"),MIN(Settings!$C$12*($M216+IF(Settings!$C$54="Y",0,$H216)),Settings!$C$25),0))</f>
        <v/>
      </c>
      <c r="R216" s="15">
        <f>IF($A216="","",IF(AND($B216="Etsy",$J216="Y",$L216="Y",$M216&gt;0),($O216+Settings!$C$21*$M216*(1+Settings!$C$55)+IF(Settings!$C$59="Y",$Q216,0))*$T216/$M216+IF(AND(Settings!$C$58="Y",$T216&gt;=$M216),Settings!$C$22,0),0))</f>
        <v/>
      </c>
      <c r="S216" s="15">
        <f>IF($A216="","",$N216+$O216+$P216+$Q216-$R216)</f>
        <v/>
      </c>
      <c r="T216" s="15">
        <f>IF($A216="","",IF($J216="Y",IF($K216="",$M216,MIN($K216,$M216)),0))</f>
        <v/>
      </c>
      <c r="U216" s="15">
        <f>IF($A216="","",IF($D216="",1,$D216)*IFERROR(INDEX(Products!$F$5:$F$54,MATCH($C216,Products!$A$5:$A$54,0)),0))</f>
        <v/>
      </c>
      <c r="V216" s="27">
        <f>IF($A216="","",$M216-$T216-$S216-$U216-$G216)</f>
        <v/>
      </c>
      <c r="W216" s="31">
        <f>IF($A216="","",IF($M216-$T216&gt;0,$V216/($M216-$T216),""))</f>
        <v/>
      </c>
      <c r="X216" s="35">
        <f>IF($A216="","",DATE(YEAR($A216),MONTH($A216),1))</f>
        <v/>
      </c>
    </row>
    <row r="217">
      <c r="A217" s="18" t="n"/>
      <c r="B217" s="13" t="n"/>
      <c r="C217" s="13" t="n"/>
      <c r="D217" s="26" t="n"/>
      <c r="E217" s="12" t="n"/>
      <c r="F217" s="12" t="n"/>
      <c r="G217" s="12" t="n"/>
      <c r="H217" s="12" t="n"/>
      <c r="I217" s="13" t="n"/>
      <c r="J217" s="13" t="n"/>
      <c r="K217" s="12" t="n"/>
      <c r="L217" s="13" t="n"/>
      <c r="M217" s="15">
        <f>IF($A217="","",IF($D217="",1,$D217)*$E217+$F217-$H217)</f>
        <v/>
      </c>
      <c r="N217" s="15">
        <f>IF($A217="","",IF($B217="Etsy",IF($D217="",1,$D217)*Settings!$C$19,0))</f>
        <v/>
      </c>
      <c r="O217" s="15">
        <f>IF($A217="","",IF($B217="Etsy",Settings!$C$20*($M217+IF(Settings!$C$54="Y",0,$H217)),0))</f>
        <v/>
      </c>
      <c r="P217" s="15">
        <f>IF($A217="","",IF($B217="Etsy",Settings!$C$21*$M217*(1+Settings!$C$55)+Settings!$C$22,IF($B217="Shopify",Settings!$C$14*$M217+Settings!$C$15,0)))</f>
        <v/>
      </c>
      <c r="Q217" s="15">
        <f>IF($A217="","",IF(AND($B217="Etsy",$I217="Y"),MIN(Settings!$C$12*($M217+IF(Settings!$C$54="Y",0,$H217)),Settings!$C$25),0))</f>
        <v/>
      </c>
      <c r="R217" s="15">
        <f>IF($A217="","",IF(AND($B217="Etsy",$J217="Y",$L217="Y",$M217&gt;0),($O217+Settings!$C$21*$M217*(1+Settings!$C$55)+IF(Settings!$C$59="Y",$Q217,0))*$T217/$M217+IF(AND(Settings!$C$58="Y",$T217&gt;=$M217),Settings!$C$22,0),0))</f>
        <v/>
      </c>
      <c r="S217" s="15">
        <f>IF($A217="","",$N217+$O217+$P217+$Q217-$R217)</f>
        <v/>
      </c>
      <c r="T217" s="15">
        <f>IF($A217="","",IF($J217="Y",IF($K217="",$M217,MIN($K217,$M217)),0))</f>
        <v/>
      </c>
      <c r="U217" s="15">
        <f>IF($A217="","",IF($D217="",1,$D217)*IFERROR(INDEX(Products!$F$5:$F$54,MATCH($C217,Products!$A$5:$A$54,0)),0))</f>
        <v/>
      </c>
      <c r="V217" s="27">
        <f>IF($A217="","",$M217-$T217-$S217-$U217-$G217)</f>
        <v/>
      </c>
      <c r="W217" s="31">
        <f>IF($A217="","",IF($M217-$T217&gt;0,$V217/($M217-$T217),""))</f>
        <v/>
      </c>
      <c r="X217" s="35">
        <f>IF($A217="","",DATE(YEAR($A217),MONTH($A217),1))</f>
        <v/>
      </c>
    </row>
    <row r="218">
      <c r="A218" s="18" t="n"/>
      <c r="B218" s="13" t="n"/>
      <c r="C218" s="13" t="n"/>
      <c r="D218" s="26" t="n"/>
      <c r="E218" s="12" t="n"/>
      <c r="F218" s="12" t="n"/>
      <c r="G218" s="12" t="n"/>
      <c r="H218" s="12" t="n"/>
      <c r="I218" s="13" t="n"/>
      <c r="J218" s="13" t="n"/>
      <c r="K218" s="12" t="n"/>
      <c r="L218" s="13" t="n"/>
      <c r="M218" s="15">
        <f>IF($A218="","",IF($D218="",1,$D218)*$E218+$F218-$H218)</f>
        <v/>
      </c>
      <c r="N218" s="15">
        <f>IF($A218="","",IF($B218="Etsy",IF($D218="",1,$D218)*Settings!$C$19,0))</f>
        <v/>
      </c>
      <c r="O218" s="15">
        <f>IF($A218="","",IF($B218="Etsy",Settings!$C$20*($M218+IF(Settings!$C$54="Y",0,$H218)),0))</f>
        <v/>
      </c>
      <c r="P218" s="15">
        <f>IF($A218="","",IF($B218="Etsy",Settings!$C$21*$M218*(1+Settings!$C$55)+Settings!$C$22,IF($B218="Shopify",Settings!$C$14*$M218+Settings!$C$15,0)))</f>
        <v/>
      </c>
      <c r="Q218" s="15">
        <f>IF($A218="","",IF(AND($B218="Etsy",$I218="Y"),MIN(Settings!$C$12*($M218+IF(Settings!$C$54="Y",0,$H218)),Settings!$C$25),0))</f>
        <v/>
      </c>
      <c r="R218" s="15">
        <f>IF($A218="","",IF(AND($B218="Etsy",$J218="Y",$L218="Y",$M218&gt;0),($O218+Settings!$C$21*$M218*(1+Settings!$C$55)+IF(Settings!$C$59="Y",$Q218,0))*$T218/$M218+IF(AND(Settings!$C$58="Y",$T218&gt;=$M218),Settings!$C$22,0),0))</f>
        <v/>
      </c>
      <c r="S218" s="15">
        <f>IF($A218="","",$N218+$O218+$P218+$Q218-$R218)</f>
        <v/>
      </c>
      <c r="T218" s="15">
        <f>IF($A218="","",IF($J218="Y",IF($K218="",$M218,MIN($K218,$M218)),0))</f>
        <v/>
      </c>
      <c r="U218" s="15">
        <f>IF($A218="","",IF($D218="",1,$D218)*IFERROR(INDEX(Products!$F$5:$F$54,MATCH($C218,Products!$A$5:$A$54,0)),0))</f>
        <v/>
      </c>
      <c r="V218" s="27">
        <f>IF($A218="","",$M218-$T218-$S218-$U218-$G218)</f>
        <v/>
      </c>
      <c r="W218" s="31">
        <f>IF($A218="","",IF($M218-$T218&gt;0,$V218/($M218-$T218),""))</f>
        <v/>
      </c>
      <c r="X218" s="35">
        <f>IF($A218="","",DATE(YEAR($A218),MONTH($A218),1))</f>
        <v/>
      </c>
    </row>
    <row r="219">
      <c r="A219" s="18" t="n"/>
      <c r="B219" s="13" t="n"/>
      <c r="C219" s="13" t="n"/>
      <c r="D219" s="26" t="n"/>
      <c r="E219" s="12" t="n"/>
      <c r="F219" s="12" t="n"/>
      <c r="G219" s="12" t="n"/>
      <c r="H219" s="12" t="n"/>
      <c r="I219" s="13" t="n"/>
      <c r="J219" s="13" t="n"/>
      <c r="K219" s="12" t="n"/>
      <c r="L219" s="13" t="n"/>
      <c r="M219" s="15">
        <f>IF($A219="","",IF($D219="",1,$D219)*$E219+$F219-$H219)</f>
        <v/>
      </c>
      <c r="N219" s="15">
        <f>IF($A219="","",IF($B219="Etsy",IF($D219="",1,$D219)*Settings!$C$19,0))</f>
        <v/>
      </c>
      <c r="O219" s="15">
        <f>IF($A219="","",IF($B219="Etsy",Settings!$C$20*($M219+IF(Settings!$C$54="Y",0,$H219)),0))</f>
        <v/>
      </c>
      <c r="P219" s="15">
        <f>IF($A219="","",IF($B219="Etsy",Settings!$C$21*$M219*(1+Settings!$C$55)+Settings!$C$22,IF($B219="Shopify",Settings!$C$14*$M219+Settings!$C$15,0)))</f>
        <v/>
      </c>
      <c r="Q219" s="15">
        <f>IF($A219="","",IF(AND($B219="Etsy",$I219="Y"),MIN(Settings!$C$12*($M219+IF(Settings!$C$54="Y",0,$H219)),Settings!$C$25),0))</f>
        <v/>
      </c>
      <c r="R219" s="15">
        <f>IF($A219="","",IF(AND($B219="Etsy",$J219="Y",$L219="Y",$M219&gt;0),($O219+Settings!$C$21*$M219*(1+Settings!$C$55)+IF(Settings!$C$59="Y",$Q219,0))*$T219/$M219+IF(AND(Settings!$C$58="Y",$T219&gt;=$M219),Settings!$C$22,0),0))</f>
        <v/>
      </c>
      <c r="S219" s="15">
        <f>IF($A219="","",$N219+$O219+$P219+$Q219-$R219)</f>
        <v/>
      </c>
      <c r="T219" s="15">
        <f>IF($A219="","",IF($J219="Y",IF($K219="",$M219,MIN($K219,$M219)),0))</f>
        <v/>
      </c>
      <c r="U219" s="15">
        <f>IF($A219="","",IF($D219="",1,$D219)*IFERROR(INDEX(Products!$F$5:$F$54,MATCH($C219,Products!$A$5:$A$54,0)),0))</f>
        <v/>
      </c>
      <c r="V219" s="27">
        <f>IF($A219="","",$M219-$T219-$S219-$U219-$G219)</f>
        <v/>
      </c>
      <c r="W219" s="31">
        <f>IF($A219="","",IF($M219-$T219&gt;0,$V219/($M219-$T219),""))</f>
        <v/>
      </c>
      <c r="X219" s="35">
        <f>IF($A219="","",DATE(YEAR($A219),MONTH($A219),1))</f>
        <v/>
      </c>
    </row>
    <row r="220">
      <c r="A220" s="18" t="n"/>
      <c r="B220" s="13" t="n"/>
      <c r="C220" s="13" t="n"/>
      <c r="D220" s="26" t="n"/>
      <c r="E220" s="12" t="n"/>
      <c r="F220" s="12" t="n"/>
      <c r="G220" s="12" t="n"/>
      <c r="H220" s="12" t="n"/>
      <c r="I220" s="13" t="n"/>
      <c r="J220" s="13" t="n"/>
      <c r="K220" s="12" t="n"/>
      <c r="L220" s="13" t="n"/>
      <c r="M220" s="15">
        <f>IF($A220="","",IF($D220="",1,$D220)*$E220+$F220-$H220)</f>
        <v/>
      </c>
      <c r="N220" s="15">
        <f>IF($A220="","",IF($B220="Etsy",IF($D220="",1,$D220)*Settings!$C$19,0))</f>
        <v/>
      </c>
      <c r="O220" s="15">
        <f>IF($A220="","",IF($B220="Etsy",Settings!$C$20*($M220+IF(Settings!$C$54="Y",0,$H220)),0))</f>
        <v/>
      </c>
      <c r="P220" s="15">
        <f>IF($A220="","",IF($B220="Etsy",Settings!$C$21*$M220*(1+Settings!$C$55)+Settings!$C$22,IF($B220="Shopify",Settings!$C$14*$M220+Settings!$C$15,0)))</f>
        <v/>
      </c>
      <c r="Q220" s="15">
        <f>IF($A220="","",IF(AND($B220="Etsy",$I220="Y"),MIN(Settings!$C$12*($M220+IF(Settings!$C$54="Y",0,$H220)),Settings!$C$25),0))</f>
        <v/>
      </c>
      <c r="R220" s="15">
        <f>IF($A220="","",IF(AND($B220="Etsy",$J220="Y",$L220="Y",$M220&gt;0),($O220+Settings!$C$21*$M220*(1+Settings!$C$55)+IF(Settings!$C$59="Y",$Q220,0))*$T220/$M220+IF(AND(Settings!$C$58="Y",$T220&gt;=$M220),Settings!$C$22,0),0))</f>
        <v/>
      </c>
      <c r="S220" s="15">
        <f>IF($A220="","",$N220+$O220+$P220+$Q220-$R220)</f>
        <v/>
      </c>
      <c r="T220" s="15">
        <f>IF($A220="","",IF($J220="Y",IF($K220="",$M220,MIN($K220,$M220)),0))</f>
        <v/>
      </c>
      <c r="U220" s="15">
        <f>IF($A220="","",IF($D220="",1,$D220)*IFERROR(INDEX(Products!$F$5:$F$54,MATCH($C220,Products!$A$5:$A$54,0)),0))</f>
        <v/>
      </c>
      <c r="V220" s="27">
        <f>IF($A220="","",$M220-$T220-$S220-$U220-$G220)</f>
        <v/>
      </c>
      <c r="W220" s="31">
        <f>IF($A220="","",IF($M220-$T220&gt;0,$V220/($M220-$T220),""))</f>
        <v/>
      </c>
      <c r="X220" s="35">
        <f>IF($A220="","",DATE(YEAR($A220),MONTH($A220),1))</f>
        <v/>
      </c>
    </row>
    <row r="221">
      <c r="A221" s="18" t="n"/>
      <c r="B221" s="13" t="n"/>
      <c r="C221" s="13" t="n"/>
      <c r="D221" s="26" t="n"/>
      <c r="E221" s="12" t="n"/>
      <c r="F221" s="12" t="n"/>
      <c r="G221" s="12" t="n"/>
      <c r="H221" s="12" t="n"/>
      <c r="I221" s="13" t="n"/>
      <c r="J221" s="13" t="n"/>
      <c r="K221" s="12" t="n"/>
      <c r="L221" s="13" t="n"/>
      <c r="M221" s="15">
        <f>IF($A221="","",IF($D221="",1,$D221)*$E221+$F221-$H221)</f>
        <v/>
      </c>
      <c r="N221" s="15">
        <f>IF($A221="","",IF($B221="Etsy",IF($D221="",1,$D221)*Settings!$C$19,0))</f>
        <v/>
      </c>
      <c r="O221" s="15">
        <f>IF($A221="","",IF($B221="Etsy",Settings!$C$20*($M221+IF(Settings!$C$54="Y",0,$H221)),0))</f>
        <v/>
      </c>
      <c r="P221" s="15">
        <f>IF($A221="","",IF($B221="Etsy",Settings!$C$21*$M221*(1+Settings!$C$55)+Settings!$C$22,IF($B221="Shopify",Settings!$C$14*$M221+Settings!$C$15,0)))</f>
        <v/>
      </c>
      <c r="Q221" s="15">
        <f>IF($A221="","",IF(AND($B221="Etsy",$I221="Y"),MIN(Settings!$C$12*($M221+IF(Settings!$C$54="Y",0,$H221)),Settings!$C$25),0))</f>
        <v/>
      </c>
      <c r="R221" s="15">
        <f>IF($A221="","",IF(AND($B221="Etsy",$J221="Y",$L221="Y",$M221&gt;0),($O221+Settings!$C$21*$M221*(1+Settings!$C$55)+IF(Settings!$C$59="Y",$Q221,0))*$T221/$M221+IF(AND(Settings!$C$58="Y",$T221&gt;=$M221),Settings!$C$22,0),0))</f>
        <v/>
      </c>
      <c r="S221" s="15">
        <f>IF($A221="","",$N221+$O221+$P221+$Q221-$R221)</f>
        <v/>
      </c>
      <c r="T221" s="15">
        <f>IF($A221="","",IF($J221="Y",IF($K221="",$M221,MIN($K221,$M221)),0))</f>
        <v/>
      </c>
      <c r="U221" s="15">
        <f>IF($A221="","",IF($D221="",1,$D221)*IFERROR(INDEX(Products!$F$5:$F$54,MATCH($C221,Products!$A$5:$A$54,0)),0))</f>
        <v/>
      </c>
      <c r="V221" s="27">
        <f>IF($A221="","",$M221-$T221-$S221-$U221-$G221)</f>
        <v/>
      </c>
      <c r="W221" s="31">
        <f>IF($A221="","",IF($M221-$T221&gt;0,$V221/($M221-$T221),""))</f>
        <v/>
      </c>
      <c r="X221" s="35">
        <f>IF($A221="","",DATE(YEAR($A221),MONTH($A221),1))</f>
        <v/>
      </c>
    </row>
    <row r="222">
      <c r="A222" s="18" t="n"/>
      <c r="B222" s="13" t="n"/>
      <c r="C222" s="13" t="n"/>
      <c r="D222" s="26" t="n"/>
      <c r="E222" s="12" t="n"/>
      <c r="F222" s="12" t="n"/>
      <c r="G222" s="12" t="n"/>
      <c r="H222" s="12" t="n"/>
      <c r="I222" s="13" t="n"/>
      <c r="J222" s="13" t="n"/>
      <c r="K222" s="12" t="n"/>
      <c r="L222" s="13" t="n"/>
      <c r="M222" s="15">
        <f>IF($A222="","",IF($D222="",1,$D222)*$E222+$F222-$H222)</f>
        <v/>
      </c>
      <c r="N222" s="15">
        <f>IF($A222="","",IF($B222="Etsy",IF($D222="",1,$D222)*Settings!$C$19,0))</f>
        <v/>
      </c>
      <c r="O222" s="15">
        <f>IF($A222="","",IF($B222="Etsy",Settings!$C$20*($M222+IF(Settings!$C$54="Y",0,$H222)),0))</f>
        <v/>
      </c>
      <c r="P222" s="15">
        <f>IF($A222="","",IF($B222="Etsy",Settings!$C$21*$M222*(1+Settings!$C$55)+Settings!$C$22,IF($B222="Shopify",Settings!$C$14*$M222+Settings!$C$15,0)))</f>
        <v/>
      </c>
      <c r="Q222" s="15">
        <f>IF($A222="","",IF(AND($B222="Etsy",$I222="Y"),MIN(Settings!$C$12*($M222+IF(Settings!$C$54="Y",0,$H222)),Settings!$C$25),0))</f>
        <v/>
      </c>
      <c r="R222" s="15">
        <f>IF($A222="","",IF(AND($B222="Etsy",$J222="Y",$L222="Y",$M222&gt;0),($O222+Settings!$C$21*$M222*(1+Settings!$C$55)+IF(Settings!$C$59="Y",$Q222,0))*$T222/$M222+IF(AND(Settings!$C$58="Y",$T222&gt;=$M222),Settings!$C$22,0),0))</f>
        <v/>
      </c>
      <c r="S222" s="15">
        <f>IF($A222="","",$N222+$O222+$P222+$Q222-$R222)</f>
        <v/>
      </c>
      <c r="T222" s="15">
        <f>IF($A222="","",IF($J222="Y",IF($K222="",$M222,MIN($K222,$M222)),0))</f>
        <v/>
      </c>
      <c r="U222" s="15">
        <f>IF($A222="","",IF($D222="",1,$D222)*IFERROR(INDEX(Products!$F$5:$F$54,MATCH($C222,Products!$A$5:$A$54,0)),0))</f>
        <v/>
      </c>
      <c r="V222" s="27">
        <f>IF($A222="","",$M222-$T222-$S222-$U222-$G222)</f>
        <v/>
      </c>
      <c r="W222" s="31">
        <f>IF($A222="","",IF($M222-$T222&gt;0,$V222/($M222-$T222),""))</f>
        <v/>
      </c>
      <c r="X222" s="35">
        <f>IF($A222="","",DATE(YEAR($A222),MONTH($A222),1))</f>
        <v/>
      </c>
    </row>
    <row r="223">
      <c r="A223" s="18" t="n"/>
      <c r="B223" s="13" t="n"/>
      <c r="C223" s="13" t="n"/>
      <c r="D223" s="26" t="n"/>
      <c r="E223" s="12" t="n"/>
      <c r="F223" s="12" t="n"/>
      <c r="G223" s="12" t="n"/>
      <c r="H223" s="12" t="n"/>
      <c r="I223" s="13" t="n"/>
      <c r="J223" s="13" t="n"/>
      <c r="K223" s="12" t="n"/>
      <c r="L223" s="13" t="n"/>
      <c r="M223" s="15">
        <f>IF($A223="","",IF($D223="",1,$D223)*$E223+$F223-$H223)</f>
        <v/>
      </c>
      <c r="N223" s="15">
        <f>IF($A223="","",IF($B223="Etsy",IF($D223="",1,$D223)*Settings!$C$19,0))</f>
        <v/>
      </c>
      <c r="O223" s="15">
        <f>IF($A223="","",IF($B223="Etsy",Settings!$C$20*($M223+IF(Settings!$C$54="Y",0,$H223)),0))</f>
        <v/>
      </c>
      <c r="P223" s="15">
        <f>IF($A223="","",IF($B223="Etsy",Settings!$C$21*$M223*(1+Settings!$C$55)+Settings!$C$22,IF($B223="Shopify",Settings!$C$14*$M223+Settings!$C$15,0)))</f>
        <v/>
      </c>
      <c r="Q223" s="15">
        <f>IF($A223="","",IF(AND($B223="Etsy",$I223="Y"),MIN(Settings!$C$12*($M223+IF(Settings!$C$54="Y",0,$H223)),Settings!$C$25),0))</f>
        <v/>
      </c>
      <c r="R223" s="15">
        <f>IF($A223="","",IF(AND($B223="Etsy",$J223="Y",$L223="Y",$M223&gt;0),($O223+Settings!$C$21*$M223*(1+Settings!$C$55)+IF(Settings!$C$59="Y",$Q223,0))*$T223/$M223+IF(AND(Settings!$C$58="Y",$T223&gt;=$M223),Settings!$C$22,0),0))</f>
        <v/>
      </c>
      <c r="S223" s="15">
        <f>IF($A223="","",$N223+$O223+$P223+$Q223-$R223)</f>
        <v/>
      </c>
      <c r="T223" s="15">
        <f>IF($A223="","",IF($J223="Y",IF($K223="",$M223,MIN($K223,$M223)),0))</f>
        <v/>
      </c>
      <c r="U223" s="15">
        <f>IF($A223="","",IF($D223="",1,$D223)*IFERROR(INDEX(Products!$F$5:$F$54,MATCH($C223,Products!$A$5:$A$54,0)),0))</f>
        <v/>
      </c>
      <c r="V223" s="27">
        <f>IF($A223="","",$M223-$T223-$S223-$U223-$G223)</f>
        <v/>
      </c>
      <c r="W223" s="31">
        <f>IF($A223="","",IF($M223-$T223&gt;0,$V223/($M223-$T223),""))</f>
        <v/>
      </c>
      <c r="X223" s="35">
        <f>IF($A223="","",DATE(YEAR($A223),MONTH($A223),1))</f>
        <v/>
      </c>
    </row>
    <row r="224">
      <c r="A224" s="18" t="n"/>
      <c r="B224" s="13" t="n"/>
      <c r="C224" s="13" t="n"/>
      <c r="D224" s="26" t="n"/>
      <c r="E224" s="12" t="n"/>
      <c r="F224" s="12" t="n"/>
      <c r="G224" s="12" t="n"/>
      <c r="H224" s="12" t="n"/>
      <c r="I224" s="13" t="n"/>
      <c r="J224" s="13" t="n"/>
      <c r="K224" s="12" t="n"/>
      <c r="L224" s="13" t="n"/>
      <c r="M224" s="15">
        <f>IF($A224="","",IF($D224="",1,$D224)*$E224+$F224-$H224)</f>
        <v/>
      </c>
      <c r="N224" s="15">
        <f>IF($A224="","",IF($B224="Etsy",IF($D224="",1,$D224)*Settings!$C$19,0))</f>
        <v/>
      </c>
      <c r="O224" s="15">
        <f>IF($A224="","",IF($B224="Etsy",Settings!$C$20*($M224+IF(Settings!$C$54="Y",0,$H224)),0))</f>
        <v/>
      </c>
      <c r="P224" s="15">
        <f>IF($A224="","",IF($B224="Etsy",Settings!$C$21*$M224*(1+Settings!$C$55)+Settings!$C$22,IF($B224="Shopify",Settings!$C$14*$M224+Settings!$C$15,0)))</f>
        <v/>
      </c>
      <c r="Q224" s="15">
        <f>IF($A224="","",IF(AND($B224="Etsy",$I224="Y"),MIN(Settings!$C$12*($M224+IF(Settings!$C$54="Y",0,$H224)),Settings!$C$25),0))</f>
        <v/>
      </c>
      <c r="R224" s="15">
        <f>IF($A224="","",IF(AND($B224="Etsy",$J224="Y",$L224="Y",$M224&gt;0),($O224+Settings!$C$21*$M224*(1+Settings!$C$55)+IF(Settings!$C$59="Y",$Q224,0))*$T224/$M224+IF(AND(Settings!$C$58="Y",$T224&gt;=$M224),Settings!$C$22,0),0))</f>
        <v/>
      </c>
      <c r="S224" s="15">
        <f>IF($A224="","",$N224+$O224+$P224+$Q224-$R224)</f>
        <v/>
      </c>
      <c r="T224" s="15">
        <f>IF($A224="","",IF($J224="Y",IF($K224="",$M224,MIN($K224,$M224)),0))</f>
        <v/>
      </c>
      <c r="U224" s="15">
        <f>IF($A224="","",IF($D224="",1,$D224)*IFERROR(INDEX(Products!$F$5:$F$54,MATCH($C224,Products!$A$5:$A$54,0)),0))</f>
        <v/>
      </c>
      <c r="V224" s="27">
        <f>IF($A224="","",$M224-$T224-$S224-$U224-$G224)</f>
        <v/>
      </c>
      <c r="W224" s="31">
        <f>IF($A224="","",IF($M224-$T224&gt;0,$V224/($M224-$T224),""))</f>
        <v/>
      </c>
      <c r="X224" s="35">
        <f>IF($A224="","",DATE(YEAR($A224),MONTH($A224),1))</f>
        <v/>
      </c>
    </row>
    <row r="225">
      <c r="A225" s="18" t="n"/>
      <c r="B225" s="13" t="n"/>
      <c r="C225" s="13" t="n"/>
      <c r="D225" s="26" t="n"/>
      <c r="E225" s="12" t="n"/>
      <c r="F225" s="12" t="n"/>
      <c r="G225" s="12" t="n"/>
      <c r="H225" s="12" t="n"/>
      <c r="I225" s="13" t="n"/>
      <c r="J225" s="13" t="n"/>
      <c r="K225" s="12" t="n"/>
      <c r="L225" s="13" t="n"/>
      <c r="M225" s="15">
        <f>IF($A225="","",IF($D225="",1,$D225)*$E225+$F225-$H225)</f>
        <v/>
      </c>
      <c r="N225" s="15">
        <f>IF($A225="","",IF($B225="Etsy",IF($D225="",1,$D225)*Settings!$C$19,0))</f>
        <v/>
      </c>
      <c r="O225" s="15">
        <f>IF($A225="","",IF($B225="Etsy",Settings!$C$20*($M225+IF(Settings!$C$54="Y",0,$H225)),0))</f>
        <v/>
      </c>
      <c r="P225" s="15">
        <f>IF($A225="","",IF($B225="Etsy",Settings!$C$21*$M225*(1+Settings!$C$55)+Settings!$C$22,IF($B225="Shopify",Settings!$C$14*$M225+Settings!$C$15,0)))</f>
        <v/>
      </c>
      <c r="Q225" s="15">
        <f>IF($A225="","",IF(AND($B225="Etsy",$I225="Y"),MIN(Settings!$C$12*($M225+IF(Settings!$C$54="Y",0,$H225)),Settings!$C$25),0))</f>
        <v/>
      </c>
      <c r="R225" s="15">
        <f>IF($A225="","",IF(AND($B225="Etsy",$J225="Y",$L225="Y",$M225&gt;0),($O225+Settings!$C$21*$M225*(1+Settings!$C$55)+IF(Settings!$C$59="Y",$Q225,0))*$T225/$M225+IF(AND(Settings!$C$58="Y",$T225&gt;=$M225),Settings!$C$22,0),0))</f>
        <v/>
      </c>
      <c r="S225" s="15">
        <f>IF($A225="","",$N225+$O225+$P225+$Q225-$R225)</f>
        <v/>
      </c>
      <c r="T225" s="15">
        <f>IF($A225="","",IF($J225="Y",IF($K225="",$M225,MIN($K225,$M225)),0))</f>
        <v/>
      </c>
      <c r="U225" s="15">
        <f>IF($A225="","",IF($D225="",1,$D225)*IFERROR(INDEX(Products!$F$5:$F$54,MATCH($C225,Products!$A$5:$A$54,0)),0))</f>
        <v/>
      </c>
      <c r="V225" s="27">
        <f>IF($A225="","",$M225-$T225-$S225-$U225-$G225)</f>
        <v/>
      </c>
      <c r="W225" s="31">
        <f>IF($A225="","",IF($M225-$T225&gt;0,$V225/($M225-$T225),""))</f>
        <v/>
      </c>
      <c r="X225" s="35">
        <f>IF($A225="","",DATE(YEAR($A225),MONTH($A225),1))</f>
        <v/>
      </c>
    </row>
    <row r="226">
      <c r="A226" s="18" t="n"/>
      <c r="B226" s="13" t="n"/>
      <c r="C226" s="13" t="n"/>
      <c r="D226" s="26" t="n"/>
      <c r="E226" s="12" t="n"/>
      <c r="F226" s="12" t="n"/>
      <c r="G226" s="12" t="n"/>
      <c r="H226" s="12" t="n"/>
      <c r="I226" s="13" t="n"/>
      <c r="J226" s="13" t="n"/>
      <c r="K226" s="12" t="n"/>
      <c r="L226" s="13" t="n"/>
      <c r="M226" s="15">
        <f>IF($A226="","",IF($D226="",1,$D226)*$E226+$F226-$H226)</f>
        <v/>
      </c>
      <c r="N226" s="15">
        <f>IF($A226="","",IF($B226="Etsy",IF($D226="",1,$D226)*Settings!$C$19,0))</f>
        <v/>
      </c>
      <c r="O226" s="15">
        <f>IF($A226="","",IF($B226="Etsy",Settings!$C$20*($M226+IF(Settings!$C$54="Y",0,$H226)),0))</f>
        <v/>
      </c>
      <c r="P226" s="15">
        <f>IF($A226="","",IF($B226="Etsy",Settings!$C$21*$M226*(1+Settings!$C$55)+Settings!$C$22,IF($B226="Shopify",Settings!$C$14*$M226+Settings!$C$15,0)))</f>
        <v/>
      </c>
      <c r="Q226" s="15">
        <f>IF($A226="","",IF(AND($B226="Etsy",$I226="Y"),MIN(Settings!$C$12*($M226+IF(Settings!$C$54="Y",0,$H226)),Settings!$C$25),0))</f>
        <v/>
      </c>
      <c r="R226" s="15">
        <f>IF($A226="","",IF(AND($B226="Etsy",$J226="Y",$L226="Y",$M226&gt;0),($O226+Settings!$C$21*$M226*(1+Settings!$C$55)+IF(Settings!$C$59="Y",$Q226,0))*$T226/$M226+IF(AND(Settings!$C$58="Y",$T226&gt;=$M226),Settings!$C$22,0),0))</f>
        <v/>
      </c>
      <c r="S226" s="15">
        <f>IF($A226="","",$N226+$O226+$P226+$Q226-$R226)</f>
        <v/>
      </c>
      <c r="T226" s="15">
        <f>IF($A226="","",IF($J226="Y",IF($K226="",$M226,MIN($K226,$M226)),0))</f>
        <v/>
      </c>
      <c r="U226" s="15">
        <f>IF($A226="","",IF($D226="",1,$D226)*IFERROR(INDEX(Products!$F$5:$F$54,MATCH($C226,Products!$A$5:$A$54,0)),0))</f>
        <v/>
      </c>
      <c r="V226" s="27">
        <f>IF($A226="","",$M226-$T226-$S226-$U226-$G226)</f>
        <v/>
      </c>
      <c r="W226" s="31">
        <f>IF($A226="","",IF($M226-$T226&gt;0,$V226/($M226-$T226),""))</f>
        <v/>
      </c>
      <c r="X226" s="35">
        <f>IF($A226="","",DATE(YEAR($A226),MONTH($A226),1))</f>
        <v/>
      </c>
    </row>
    <row r="227">
      <c r="A227" s="18" t="n"/>
      <c r="B227" s="13" t="n"/>
      <c r="C227" s="13" t="n"/>
      <c r="D227" s="26" t="n"/>
      <c r="E227" s="12" t="n"/>
      <c r="F227" s="12" t="n"/>
      <c r="G227" s="12" t="n"/>
      <c r="H227" s="12" t="n"/>
      <c r="I227" s="13" t="n"/>
      <c r="J227" s="13" t="n"/>
      <c r="K227" s="12" t="n"/>
      <c r="L227" s="13" t="n"/>
      <c r="M227" s="15">
        <f>IF($A227="","",IF($D227="",1,$D227)*$E227+$F227-$H227)</f>
        <v/>
      </c>
      <c r="N227" s="15">
        <f>IF($A227="","",IF($B227="Etsy",IF($D227="",1,$D227)*Settings!$C$19,0))</f>
        <v/>
      </c>
      <c r="O227" s="15">
        <f>IF($A227="","",IF($B227="Etsy",Settings!$C$20*($M227+IF(Settings!$C$54="Y",0,$H227)),0))</f>
        <v/>
      </c>
      <c r="P227" s="15">
        <f>IF($A227="","",IF($B227="Etsy",Settings!$C$21*$M227*(1+Settings!$C$55)+Settings!$C$22,IF($B227="Shopify",Settings!$C$14*$M227+Settings!$C$15,0)))</f>
        <v/>
      </c>
      <c r="Q227" s="15">
        <f>IF($A227="","",IF(AND($B227="Etsy",$I227="Y"),MIN(Settings!$C$12*($M227+IF(Settings!$C$54="Y",0,$H227)),Settings!$C$25),0))</f>
        <v/>
      </c>
      <c r="R227" s="15">
        <f>IF($A227="","",IF(AND($B227="Etsy",$J227="Y",$L227="Y",$M227&gt;0),($O227+Settings!$C$21*$M227*(1+Settings!$C$55)+IF(Settings!$C$59="Y",$Q227,0))*$T227/$M227+IF(AND(Settings!$C$58="Y",$T227&gt;=$M227),Settings!$C$22,0),0))</f>
        <v/>
      </c>
      <c r="S227" s="15">
        <f>IF($A227="","",$N227+$O227+$P227+$Q227-$R227)</f>
        <v/>
      </c>
      <c r="T227" s="15">
        <f>IF($A227="","",IF($J227="Y",IF($K227="",$M227,MIN($K227,$M227)),0))</f>
        <v/>
      </c>
      <c r="U227" s="15">
        <f>IF($A227="","",IF($D227="",1,$D227)*IFERROR(INDEX(Products!$F$5:$F$54,MATCH($C227,Products!$A$5:$A$54,0)),0))</f>
        <v/>
      </c>
      <c r="V227" s="27">
        <f>IF($A227="","",$M227-$T227-$S227-$U227-$G227)</f>
        <v/>
      </c>
      <c r="W227" s="31">
        <f>IF($A227="","",IF($M227-$T227&gt;0,$V227/($M227-$T227),""))</f>
        <v/>
      </c>
      <c r="X227" s="35">
        <f>IF($A227="","",DATE(YEAR($A227),MONTH($A227),1))</f>
        <v/>
      </c>
    </row>
    <row r="228">
      <c r="A228" s="18" t="n"/>
      <c r="B228" s="13" t="n"/>
      <c r="C228" s="13" t="n"/>
      <c r="D228" s="26" t="n"/>
      <c r="E228" s="12" t="n"/>
      <c r="F228" s="12" t="n"/>
      <c r="G228" s="12" t="n"/>
      <c r="H228" s="12" t="n"/>
      <c r="I228" s="13" t="n"/>
      <c r="J228" s="13" t="n"/>
      <c r="K228" s="12" t="n"/>
      <c r="L228" s="13" t="n"/>
      <c r="M228" s="15">
        <f>IF($A228="","",IF($D228="",1,$D228)*$E228+$F228-$H228)</f>
        <v/>
      </c>
      <c r="N228" s="15">
        <f>IF($A228="","",IF($B228="Etsy",IF($D228="",1,$D228)*Settings!$C$19,0))</f>
        <v/>
      </c>
      <c r="O228" s="15">
        <f>IF($A228="","",IF($B228="Etsy",Settings!$C$20*($M228+IF(Settings!$C$54="Y",0,$H228)),0))</f>
        <v/>
      </c>
      <c r="P228" s="15">
        <f>IF($A228="","",IF($B228="Etsy",Settings!$C$21*$M228*(1+Settings!$C$55)+Settings!$C$22,IF($B228="Shopify",Settings!$C$14*$M228+Settings!$C$15,0)))</f>
        <v/>
      </c>
      <c r="Q228" s="15">
        <f>IF($A228="","",IF(AND($B228="Etsy",$I228="Y"),MIN(Settings!$C$12*($M228+IF(Settings!$C$54="Y",0,$H228)),Settings!$C$25),0))</f>
        <v/>
      </c>
      <c r="R228" s="15">
        <f>IF($A228="","",IF(AND($B228="Etsy",$J228="Y",$L228="Y",$M228&gt;0),($O228+Settings!$C$21*$M228*(1+Settings!$C$55)+IF(Settings!$C$59="Y",$Q228,0))*$T228/$M228+IF(AND(Settings!$C$58="Y",$T228&gt;=$M228),Settings!$C$22,0),0))</f>
        <v/>
      </c>
      <c r="S228" s="15">
        <f>IF($A228="","",$N228+$O228+$P228+$Q228-$R228)</f>
        <v/>
      </c>
      <c r="T228" s="15">
        <f>IF($A228="","",IF($J228="Y",IF($K228="",$M228,MIN($K228,$M228)),0))</f>
        <v/>
      </c>
      <c r="U228" s="15">
        <f>IF($A228="","",IF($D228="",1,$D228)*IFERROR(INDEX(Products!$F$5:$F$54,MATCH($C228,Products!$A$5:$A$54,0)),0))</f>
        <v/>
      </c>
      <c r="V228" s="27">
        <f>IF($A228="","",$M228-$T228-$S228-$U228-$G228)</f>
        <v/>
      </c>
      <c r="W228" s="31">
        <f>IF($A228="","",IF($M228-$T228&gt;0,$V228/($M228-$T228),""))</f>
        <v/>
      </c>
      <c r="X228" s="35">
        <f>IF($A228="","",DATE(YEAR($A228),MONTH($A228),1))</f>
        <v/>
      </c>
    </row>
    <row r="229">
      <c r="A229" s="18" t="n"/>
      <c r="B229" s="13" t="n"/>
      <c r="C229" s="13" t="n"/>
      <c r="D229" s="26" t="n"/>
      <c r="E229" s="12" t="n"/>
      <c r="F229" s="12" t="n"/>
      <c r="G229" s="12" t="n"/>
      <c r="H229" s="12" t="n"/>
      <c r="I229" s="13" t="n"/>
      <c r="J229" s="13" t="n"/>
      <c r="K229" s="12" t="n"/>
      <c r="L229" s="13" t="n"/>
      <c r="M229" s="15">
        <f>IF($A229="","",IF($D229="",1,$D229)*$E229+$F229-$H229)</f>
        <v/>
      </c>
      <c r="N229" s="15">
        <f>IF($A229="","",IF($B229="Etsy",IF($D229="",1,$D229)*Settings!$C$19,0))</f>
        <v/>
      </c>
      <c r="O229" s="15">
        <f>IF($A229="","",IF($B229="Etsy",Settings!$C$20*($M229+IF(Settings!$C$54="Y",0,$H229)),0))</f>
        <v/>
      </c>
      <c r="P229" s="15">
        <f>IF($A229="","",IF($B229="Etsy",Settings!$C$21*$M229*(1+Settings!$C$55)+Settings!$C$22,IF($B229="Shopify",Settings!$C$14*$M229+Settings!$C$15,0)))</f>
        <v/>
      </c>
      <c r="Q229" s="15">
        <f>IF($A229="","",IF(AND($B229="Etsy",$I229="Y"),MIN(Settings!$C$12*($M229+IF(Settings!$C$54="Y",0,$H229)),Settings!$C$25),0))</f>
        <v/>
      </c>
      <c r="R229" s="15">
        <f>IF($A229="","",IF(AND($B229="Etsy",$J229="Y",$L229="Y",$M229&gt;0),($O229+Settings!$C$21*$M229*(1+Settings!$C$55)+IF(Settings!$C$59="Y",$Q229,0))*$T229/$M229+IF(AND(Settings!$C$58="Y",$T229&gt;=$M229),Settings!$C$22,0),0))</f>
        <v/>
      </c>
      <c r="S229" s="15">
        <f>IF($A229="","",$N229+$O229+$P229+$Q229-$R229)</f>
        <v/>
      </c>
      <c r="T229" s="15">
        <f>IF($A229="","",IF($J229="Y",IF($K229="",$M229,MIN($K229,$M229)),0))</f>
        <v/>
      </c>
      <c r="U229" s="15">
        <f>IF($A229="","",IF($D229="",1,$D229)*IFERROR(INDEX(Products!$F$5:$F$54,MATCH($C229,Products!$A$5:$A$54,0)),0))</f>
        <v/>
      </c>
      <c r="V229" s="27">
        <f>IF($A229="","",$M229-$T229-$S229-$U229-$G229)</f>
        <v/>
      </c>
      <c r="W229" s="31">
        <f>IF($A229="","",IF($M229-$T229&gt;0,$V229/($M229-$T229),""))</f>
        <v/>
      </c>
      <c r="X229" s="35">
        <f>IF($A229="","",DATE(YEAR($A229),MONTH($A229),1))</f>
        <v/>
      </c>
    </row>
    <row r="230">
      <c r="A230" s="18" t="n"/>
      <c r="B230" s="13" t="n"/>
      <c r="C230" s="13" t="n"/>
      <c r="D230" s="26" t="n"/>
      <c r="E230" s="12" t="n"/>
      <c r="F230" s="12" t="n"/>
      <c r="G230" s="12" t="n"/>
      <c r="H230" s="12" t="n"/>
      <c r="I230" s="13" t="n"/>
      <c r="J230" s="13" t="n"/>
      <c r="K230" s="12" t="n"/>
      <c r="L230" s="13" t="n"/>
      <c r="M230" s="15">
        <f>IF($A230="","",IF($D230="",1,$D230)*$E230+$F230-$H230)</f>
        <v/>
      </c>
      <c r="N230" s="15">
        <f>IF($A230="","",IF($B230="Etsy",IF($D230="",1,$D230)*Settings!$C$19,0))</f>
        <v/>
      </c>
      <c r="O230" s="15">
        <f>IF($A230="","",IF($B230="Etsy",Settings!$C$20*($M230+IF(Settings!$C$54="Y",0,$H230)),0))</f>
        <v/>
      </c>
      <c r="P230" s="15">
        <f>IF($A230="","",IF($B230="Etsy",Settings!$C$21*$M230*(1+Settings!$C$55)+Settings!$C$22,IF($B230="Shopify",Settings!$C$14*$M230+Settings!$C$15,0)))</f>
        <v/>
      </c>
      <c r="Q230" s="15">
        <f>IF($A230="","",IF(AND($B230="Etsy",$I230="Y"),MIN(Settings!$C$12*($M230+IF(Settings!$C$54="Y",0,$H230)),Settings!$C$25),0))</f>
        <v/>
      </c>
      <c r="R230" s="15">
        <f>IF($A230="","",IF(AND($B230="Etsy",$J230="Y",$L230="Y",$M230&gt;0),($O230+Settings!$C$21*$M230*(1+Settings!$C$55)+IF(Settings!$C$59="Y",$Q230,0))*$T230/$M230+IF(AND(Settings!$C$58="Y",$T230&gt;=$M230),Settings!$C$22,0),0))</f>
        <v/>
      </c>
      <c r="S230" s="15">
        <f>IF($A230="","",$N230+$O230+$P230+$Q230-$R230)</f>
        <v/>
      </c>
      <c r="T230" s="15">
        <f>IF($A230="","",IF($J230="Y",IF($K230="",$M230,MIN($K230,$M230)),0))</f>
        <v/>
      </c>
      <c r="U230" s="15">
        <f>IF($A230="","",IF($D230="",1,$D230)*IFERROR(INDEX(Products!$F$5:$F$54,MATCH($C230,Products!$A$5:$A$54,0)),0))</f>
        <v/>
      </c>
      <c r="V230" s="27">
        <f>IF($A230="","",$M230-$T230-$S230-$U230-$G230)</f>
        <v/>
      </c>
      <c r="W230" s="31">
        <f>IF($A230="","",IF($M230-$T230&gt;0,$V230/($M230-$T230),""))</f>
        <v/>
      </c>
      <c r="X230" s="35">
        <f>IF($A230="","",DATE(YEAR($A230),MONTH($A230),1))</f>
        <v/>
      </c>
    </row>
    <row r="231">
      <c r="A231" s="18" t="n"/>
      <c r="B231" s="13" t="n"/>
      <c r="C231" s="13" t="n"/>
      <c r="D231" s="26" t="n"/>
      <c r="E231" s="12" t="n"/>
      <c r="F231" s="12" t="n"/>
      <c r="G231" s="12" t="n"/>
      <c r="H231" s="12" t="n"/>
      <c r="I231" s="13" t="n"/>
      <c r="J231" s="13" t="n"/>
      <c r="K231" s="12" t="n"/>
      <c r="L231" s="13" t="n"/>
      <c r="M231" s="15">
        <f>IF($A231="","",IF($D231="",1,$D231)*$E231+$F231-$H231)</f>
        <v/>
      </c>
      <c r="N231" s="15">
        <f>IF($A231="","",IF($B231="Etsy",IF($D231="",1,$D231)*Settings!$C$19,0))</f>
        <v/>
      </c>
      <c r="O231" s="15">
        <f>IF($A231="","",IF($B231="Etsy",Settings!$C$20*($M231+IF(Settings!$C$54="Y",0,$H231)),0))</f>
        <v/>
      </c>
      <c r="P231" s="15">
        <f>IF($A231="","",IF($B231="Etsy",Settings!$C$21*$M231*(1+Settings!$C$55)+Settings!$C$22,IF($B231="Shopify",Settings!$C$14*$M231+Settings!$C$15,0)))</f>
        <v/>
      </c>
      <c r="Q231" s="15">
        <f>IF($A231="","",IF(AND($B231="Etsy",$I231="Y"),MIN(Settings!$C$12*($M231+IF(Settings!$C$54="Y",0,$H231)),Settings!$C$25),0))</f>
        <v/>
      </c>
      <c r="R231" s="15">
        <f>IF($A231="","",IF(AND($B231="Etsy",$J231="Y",$L231="Y",$M231&gt;0),($O231+Settings!$C$21*$M231*(1+Settings!$C$55)+IF(Settings!$C$59="Y",$Q231,0))*$T231/$M231+IF(AND(Settings!$C$58="Y",$T231&gt;=$M231),Settings!$C$22,0),0))</f>
        <v/>
      </c>
      <c r="S231" s="15">
        <f>IF($A231="","",$N231+$O231+$P231+$Q231-$R231)</f>
        <v/>
      </c>
      <c r="T231" s="15">
        <f>IF($A231="","",IF($J231="Y",IF($K231="",$M231,MIN($K231,$M231)),0))</f>
        <v/>
      </c>
      <c r="U231" s="15">
        <f>IF($A231="","",IF($D231="",1,$D231)*IFERROR(INDEX(Products!$F$5:$F$54,MATCH($C231,Products!$A$5:$A$54,0)),0))</f>
        <v/>
      </c>
      <c r="V231" s="27">
        <f>IF($A231="","",$M231-$T231-$S231-$U231-$G231)</f>
        <v/>
      </c>
      <c r="W231" s="31">
        <f>IF($A231="","",IF($M231-$T231&gt;0,$V231/($M231-$T231),""))</f>
        <v/>
      </c>
      <c r="X231" s="35">
        <f>IF($A231="","",DATE(YEAR($A231),MONTH($A231),1))</f>
        <v/>
      </c>
    </row>
    <row r="232">
      <c r="A232" s="18" t="n"/>
      <c r="B232" s="13" t="n"/>
      <c r="C232" s="13" t="n"/>
      <c r="D232" s="26" t="n"/>
      <c r="E232" s="12" t="n"/>
      <c r="F232" s="12" t="n"/>
      <c r="G232" s="12" t="n"/>
      <c r="H232" s="12" t="n"/>
      <c r="I232" s="13" t="n"/>
      <c r="J232" s="13" t="n"/>
      <c r="K232" s="12" t="n"/>
      <c r="L232" s="13" t="n"/>
      <c r="M232" s="15">
        <f>IF($A232="","",IF($D232="",1,$D232)*$E232+$F232-$H232)</f>
        <v/>
      </c>
      <c r="N232" s="15">
        <f>IF($A232="","",IF($B232="Etsy",IF($D232="",1,$D232)*Settings!$C$19,0))</f>
        <v/>
      </c>
      <c r="O232" s="15">
        <f>IF($A232="","",IF($B232="Etsy",Settings!$C$20*($M232+IF(Settings!$C$54="Y",0,$H232)),0))</f>
        <v/>
      </c>
      <c r="P232" s="15">
        <f>IF($A232="","",IF($B232="Etsy",Settings!$C$21*$M232*(1+Settings!$C$55)+Settings!$C$22,IF($B232="Shopify",Settings!$C$14*$M232+Settings!$C$15,0)))</f>
        <v/>
      </c>
      <c r="Q232" s="15">
        <f>IF($A232="","",IF(AND($B232="Etsy",$I232="Y"),MIN(Settings!$C$12*($M232+IF(Settings!$C$54="Y",0,$H232)),Settings!$C$25),0))</f>
        <v/>
      </c>
      <c r="R232" s="15">
        <f>IF($A232="","",IF(AND($B232="Etsy",$J232="Y",$L232="Y",$M232&gt;0),($O232+Settings!$C$21*$M232*(1+Settings!$C$55)+IF(Settings!$C$59="Y",$Q232,0))*$T232/$M232+IF(AND(Settings!$C$58="Y",$T232&gt;=$M232),Settings!$C$22,0),0))</f>
        <v/>
      </c>
      <c r="S232" s="15">
        <f>IF($A232="","",$N232+$O232+$P232+$Q232-$R232)</f>
        <v/>
      </c>
      <c r="T232" s="15">
        <f>IF($A232="","",IF($J232="Y",IF($K232="",$M232,MIN($K232,$M232)),0))</f>
        <v/>
      </c>
      <c r="U232" s="15">
        <f>IF($A232="","",IF($D232="",1,$D232)*IFERROR(INDEX(Products!$F$5:$F$54,MATCH($C232,Products!$A$5:$A$54,0)),0))</f>
        <v/>
      </c>
      <c r="V232" s="27">
        <f>IF($A232="","",$M232-$T232-$S232-$U232-$G232)</f>
        <v/>
      </c>
      <c r="W232" s="31">
        <f>IF($A232="","",IF($M232-$T232&gt;0,$V232/($M232-$T232),""))</f>
        <v/>
      </c>
      <c r="X232" s="35">
        <f>IF($A232="","",DATE(YEAR($A232),MONTH($A232),1))</f>
        <v/>
      </c>
    </row>
    <row r="233">
      <c r="A233" s="18" t="n"/>
      <c r="B233" s="13" t="n"/>
      <c r="C233" s="13" t="n"/>
      <c r="D233" s="26" t="n"/>
      <c r="E233" s="12" t="n"/>
      <c r="F233" s="12" t="n"/>
      <c r="G233" s="12" t="n"/>
      <c r="H233" s="12" t="n"/>
      <c r="I233" s="13" t="n"/>
      <c r="J233" s="13" t="n"/>
      <c r="K233" s="12" t="n"/>
      <c r="L233" s="13" t="n"/>
      <c r="M233" s="15">
        <f>IF($A233="","",IF($D233="",1,$D233)*$E233+$F233-$H233)</f>
        <v/>
      </c>
      <c r="N233" s="15">
        <f>IF($A233="","",IF($B233="Etsy",IF($D233="",1,$D233)*Settings!$C$19,0))</f>
        <v/>
      </c>
      <c r="O233" s="15">
        <f>IF($A233="","",IF($B233="Etsy",Settings!$C$20*($M233+IF(Settings!$C$54="Y",0,$H233)),0))</f>
        <v/>
      </c>
      <c r="P233" s="15">
        <f>IF($A233="","",IF($B233="Etsy",Settings!$C$21*$M233*(1+Settings!$C$55)+Settings!$C$22,IF($B233="Shopify",Settings!$C$14*$M233+Settings!$C$15,0)))</f>
        <v/>
      </c>
      <c r="Q233" s="15">
        <f>IF($A233="","",IF(AND($B233="Etsy",$I233="Y"),MIN(Settings!$C$12*($M233+IF(Settings!$C$54="Y",0,$H233)),Settings!$C$25),0))</f>
        <v/>
      </c>
      <c r="R233" s="15">
        <f>IF($A233="","",IF(AND($B233="Etsy",$J233="Y",$L233="Y",$M233&gt;0),($O233+Settings!$C$21*$M233*(1+Settings!$C$55)+IF(Settings!$C$59="Y",$Q233,0))*$T233/$M233+IF(AND(Settings!$C$58="Y",$T233&gt;=$M233),Settings!$C$22,0),0))</f>
        <v/>
      </c>
      <c r="S233" s="15">
        <f>IF($A233="","",$N233+$O233+$P233+$Q233-$R233)</f>
        <v/>
      </c>
      <c r="T233" s="15">
        <f>IF($A233="","",IF($J233="Y",IF($K233="",$M233,MIN($K233,$M233)),0))</f>
        <v/>
      </c>
      <c r="U233" s="15">
        <f>IF($A233="","",IF($D233="",1,$D233)*IFERROR(INDEX(Products!$F$5:$F$54,MATCH($C233,Products!$A$5:$A$54,0)),0))</f>
        <v/>
      </c>
      <c r="V233" s="27">
        <f>IF($A233="","",$M233-$T233-$S233-$U233-$G233)</f>
        <v/>
      </c>
      <c r="W233" s="31">
        <f>IF($A233="","",IF($M233-$T233&gt;0,$V233/($M233-$T233),""))</f>
        <v/>
      </c>
      <c r="X233" s="35">
        <f>IF($A233="","",DATE(YEAR($A233),MONTH($A233),1))</f>
        <v/>
      </c>
    </row>
    <row r="234">
      <c r="A234" s="18" t="n"/>
      <c r="B234" s="13" t="n"/>
      <c r="C234" s="13" t="n"/>
      <c r="D234" s="26" t="n"/>
      <c r="E234" s="12" t="n"/>
      <c r="F234" s="12" t="n"/>
      <c r="G234" s="12" t="n"/>
      <c r="H234" s="12" t="n"/>
      <c r="I234" s="13" t="n"/>
      <c r="J234" s="13" t="n"/>
      <c r="K234" s="12" t="n"/>
      <c r="L234" s="13" t="n"/>
      <c r="M234" s="15">
        <f>IF($A234="","",IF($D234="",1,$D234)*$E234+$F234-$H234)</f>
        <v/>
      </c>
      <c r="N234" s="15">
        <f>IF($A234="","",IF($B234="Etsy",IF($D234="",1,$D234)*Settings!$C$19,0))</f>
        <v/>
      </c>
      <c r="O234" s="15">
        <f>IF($A234="","",IF($B234="Etsy",Settings!$C$20*($M234+IF(Settings!$C$54="Y",0,$H234)),0))</f>
        <v/>
      </c>
      <c r="P234" s="15">
        <f>IF($A234="","",IF($B234="Etsy",Settings!$C$21*$M234*(1+Settings!$C$55)+Settings!$C$22,IF($B234="Shopify",Settings!$C$14*$M234+Settings!$C$15,0)))</f>
        <v/>
      </c>
      <c r="Q234" s="15">
        <f>IF($A234="","",IF(AND($B234="Etsy",$I234="Y"),MIN(Settings!$C$12*($M234+IF(Settings!$C$54="Y",0,$H234)),Settings!$C$25),0))</f>
        <v/>
      </c>
      <c r="R234" s="15">
        <f>IF($A234="","",IF(AND($B234="Etsy",$J234="Y",$L234="Y",$M234&gt;0),($O234+Settings!$C$21*$M234*(1+Settings!$C$55)+IF(Settings!$C$59="Y",$Q234,0))*$T234/$M234+IF(AND(Settings!$C$58="Y",$T234&gt;=$M234),Settings!$C$22,0),0))</f>
        <v/>
      </c>
      <c r="S234" s="15">
        <f>IF($A234="","",$N234+$O234+$P234+$Q234-$R234)</f>
        <v/>
      </c>
      <c r="T234" s="15">
        <f>IF($A234="","",IF($J234="Y",IF($K234="",$M234,MIN($K234,$M234)),0))</f>
        <v/>
      </c>
      <c r="U234" s="15">
        <f>IF($A234="","",IF($D234="",1,$D234)*IFERROR(INDEX(Products!$F$5:$F$54,MATCH($C234,Products!$A$5:$A$54,0)),0))</f>
        <v/>
      </c>
      <c r="V234" s="27">
        <f>IF($A234="","",$M234-$T234-$S234-$U234-$G234)</f>
        <v/>
      </c>
      <c r="W234" s="31">
        <f>IF($A234="","",IF($M234-$T234&gt;0,$V234/($M234-$T234),""))</f>
        <v/>
      </c>
      <c r="X234" s="35">
        <f>IF($A234="","",DATE(YEAR($A234),MONTH($A234),1))</f>
        <v/>
      </c>
    </row>
    <row r="235">
      <c r="A235" s="18" t="n"/>
      <c r="B235" s="13" t="n"/>
      <c r="C235" s="13" t="n"/>
      <c r="D235" s="26" t="n"/>
      <c r="E235" s="12" t="n"/>
      <c r="F235" s="12" t="n"/>
      <c r="G235" s="12" t="n"/>
      <c r="H235" s="12" t="n"/>
      <c r="I235" s="13" t="n"/>
      <c r="J235" s="13" t="n"/>
      <c r="K235" s="12" t="n"/>
      <c r="L235" s="13" t="n"/>
      <c r="M235" s="15">
        <f>IF($A235="","",IF($D235="",1,$D235)*$E235+$F235-$H235)</f>
        <v/>
      </c>
      <c r="N235" s="15">
        <f>IF($A235="","",IF($B235="Etsy",IF($D235="",1,$D235)*Settings!$C$19,0))</f>
        <v/>
      </c>
      <c r="O235" s="15">
        <f>IF($A235="","",IF($B235="Etsy",Settings!$C$20*($M235+IF(Settings!$C$54="Y",0,$H235)),0))</f>
        <v/>
      </c>
      <c r="P235" s="15">
        <f>IF($A235="","",IF($B235="Etsy",Settings!$C$21*$M235*(1+Settings!$C$55)+Settings!$C$22,IF($B235="Shopify",Settings!$C$14*$M235+Settings!$C$15,0)))</f>
        <v/>
      </c>
      <c r="Q235" s="15">
        <f>IF($A235="","",IF(AND($B235="Etsy",$I235="Y"),MIN(Settings!$C$12*($M235+IF(Settings!$C$54="Y",0,$H235)),Settings!$C$25),0))</f>
        <v/>
      </c>
      <c r="R235" s="15">
        <f>IF($A235="","",IF(AND($B235="Etsy",$J235="Y",$L235="Y",$M235&gt;0),($O235+Settings!$C$21*$M235*(1+Settings!$C$55)+IF(Settings!$C$59="Y",$Q235,0))*$T235/$M235+IF(AND(Settings!$C$58="Y",$T235&gt;=$M235),Settings!$C$22,0),0))</f>
        <v/>
      </c>
      <c r="S235" s="15">
        <f>IF($A235="","",$N235+$O235+$P235+$Q235-$R235)</f>
        <v/>
      </c>
      <c r="T235" s="15">
        <f>IF($A235="","",IF($J235="Y",IF($K235="",$M235,MIN($K235,$M235)),0))</f>
        <v/>
      </c>
      <c r="U235" s="15">
        <f>IF($A235="","",IF($D235="",1,$D235)*IFERROR(INDEX(Products!$F$5:$F$54,MATCH($C235,Products!$A$5:$A$54,0)),0))</f>
        <v/>
      </c>
      <c r="V235" s="27">
        <f>IF($A235="","",$M235-$T235-$S235-$U235-$G235)</f>
        <v/>
      </c>
      <c r="W235" s="31">
        <f>IF($A235="","",IF($M235-$T235&gt;0,$V235/($M235-$T235),""))</f>
        <v/>
      </c>
      <c r="X235" s="35">
        <f>IF($A235="","",DATE(YEAR($A235),MONTH($A235),1))</f>
        <v/>
      </c>
    </row>
    <row r="236">
      <c r="A236" s="18" t="n"/>
      <c r="B236" s="13" t="n"/>
      <c r="C236" s="13" t="n"/>
      <c r="D236" s="26" t="n"/>
      <c r="E236" s="12" t="n"/>
      <c r="F236" s="12" t="n"/>
      <c r="G236" s="12" t="n"/>
      <c r="H236" s="12" t="n"/>
      <c r="I236" s="13" t="n"/>
      <c r="J236" s="13" t="n"/>
      <c r="K236" s="12" t="n"/>
      <c r="L236" s="13" t="n"/>
      <c r="M236" s="15">
        <f>IF($A236="","",IF($D236="",1,$D236)*$E236+$F236-$H236)</f>
        <v/>
      </c>
      <c r="N236" s="15">
        <f>IF($A236="","",IF($B236="Etsy",IF($D236="",1,$D236)*Settings!$C$19,0))</f>
        <v/>
      </c>
      <c r="O236" s="15">
        <f>IF($A236="","",IF($B236="Etsy",Settings!$C$20*($M236+IF(Settings!$C$54="Y",0,$H236)),0))</f>
        <v/>
      </c>
      <c r="P236" s="15">
        <f>IF($A236="","",IF($B236="Etsy",Settings!$C$21*$M236*(1+Settings!$C$55)+Settings!$C$22,IF($B236="Shopify",Settings!$C$14*$M236+Settings!$C$15,0)))</f>
        <v/>
      </c>
      <c r="Q236" s="15">
        <f>IF($A236="","",IF(AND($B236="Etsy",$I236="Y"),MIN(Settings!$C$12*($M236+IF(Settings!$C$54="Y",0,$H236)),Settings!$C$25),0))</f>
        <v/>
      </c>
      <c r="R236" s="15">
        <f>IF($A236="","",IF(AND($B236="Etsy",$J236="Y",$L236="Y",$M236&gt;0),($O236+Settings!$C$21*$M236*(1+Settings!$C$55)+IF(Settings!$C$59="Y",$Q236,0))*$T236/$M236+IF(AND(Settings!$C$58="Y",$T236&gt;=$M236),Settings!$C$22,0),0))</f>
        <v/>
      </c>
      <c r="S236" s="15">
        <f>IF($A236="","",$N236+$O236+$P236+$Q236-$R236)</f>
        <v/>
      </c>
      <c r="T236" s="15">
        <f>IF($A236="","",IF($J236="Y",IF($K236="",$M236,MIN($K236,$M236)),0))</f>
        <v/>
      </c>
      <c r="U236" s="15">
        <f>IF($A236="","",IF($D236="",1,$D236)*IFERROR(INDEX(Products!$F$5:$F$54,MATCH($C236,Products!$A$5:$A$54,0)),0))</f>
        <v/>
      </c>
      <c r="V236" s="27">
        <f>IF($A236="","",$M236-$T236-$S236-$U236-$G236)</f>
        <v/>
      </c>
      <c r="W236" s="31">
        <f>IF($A236="","",IF($M236-$T236&gt;0,$V236/($M236-$T236),""))</f>
        <v/>
      </c>
      <c r="X236" s="35">
        <f>IF($A236="","",DATE(YEAR($A236),MONTH($A236),1))</f>
        <v/>
      </c>
    </row>
    <row r="237">
      <c r="A237" s="18" t="n"/>
      <c r="B237" s="13" t="n"/>
      <c r="C237" s="13" t="n"/>
      <c r="D237" s="26" t="n"/>
      <c r="E237" s="12" t="n"/>
      <c r="F237" s="12" t="n"/>
      <c r="G237" s="12" t="n"/>
      <c r="H237" s="12" t="n"/>
      <c r="I237" s="13" t="n"/>
      <c r="J237" s="13" t="n"/>
      <c r="K237" s="12" t="n"/>
      <c r="L237" s="13" t="n"/>
      <c r="M237" s="15">
        <f>IF($A237="","",IF($D237="",1,$D237)*$E237+$F237-$H237)</f>
        <v/>
      </c>
      <c r="N237" s="15">
        <f>IF($A237="","",IF($B237="Etsy",IF($D237="",1,$D237)*Settings!$C$19,0))</f>
        <v/>
      </c>
      <c r="O237" s="15">
        <f>IF($A237="","",IF($B237="Etsy",Settings!$C$20*($M237+IF(Settings!$C$54="Y",0,$H237)),0))</f>
        <v/>
      </c>
      <c r="P237" s="15">
        <f>IF($A237="","",IF($B237="Etsy",Settings!$C$21*$M237*(1+Settings!$C$55)+Settings!$C$22,IF($B237="Shopify",Settings!$C$14*$M237+Settings!$C$15,0)))</f>
        <v/>
      </c>
      <c r="Q237" s="15">
        <f>IF($A237="","",IF(AND($B237="Etsy",$I237="Y"),MIN(Settings!$C$12*($M237+IF(Settings!$C$54="Y",0,$H237)),Settings!$C$25),0))</f>
        <v/>
      </c>
      <c r="R237" s="15">
        <f>IF($A237="","",IF(AND($B237="Etsy",$J237="Y",$L237="Y",$M237&gt;0),($O237+Settings!$C$21*$M237*(1+Settings!$C$55)+IF(Settings!$C$59="Y",$Q237,0))*$T237/$M237+IF(AND(Settings!$C$58="Y",$T237&gt;=$M237),Settings!$C$22,0),0))</f>
        <v/>
      </c>
      <c r="S237" s="15">
        <f>IF($A237="","",$N237+$O237+$P237+$Q237-$R237)</f>
        <v/>
      </c>
      <c r="T237" s="15">
        <f>IF($A237="","",IF($J237="Y",IF($K237="",$M237,MIN($K237,$M237)),0))</f>
        <v/>
      </c>
      <c r="U237" s="15">
        <f>IF($A237="","",IF($D237="",1,$D237)*IFERROR(INDEX(Products!$F$5:$F$54,MATCH($C237,Products!$A$5:$A$54,0)),0))</f>
        <v/>
      </c>
      <c r="V237" s="27">
        <f>IF($A237="","",$M237-$T237-$S237-$U237-$G237)</f>
        <v/>
      </c>
      <c r="W237" s="31">
        <f>IF($A237="","",IF($M237-$T237&gt;0,$V237/($M237-$T237),""))</f>
        <v/>
      </c>
      <c r="X237" s="35">
        <f>IF($A237="","",DATE(YEAR($A237),MONTH($A237),1))</f>
        <v/>
      </c>
    </row>
    <row r="238">
      <c r="A238" s="18" t="n"/>
      <c r="B238" s="13" t="n"/>
      <c r="C238" s="13" t="n"/>
      <c r="D238" s="26" t="n"/>
      <c r="E238" s="12" t="n"/>
      <c r="F238" s="12" t="n"/>
      <c r="G238" s="12" t="n"/>
      <c r="H238" s="12" t="n"/>
      <c r="I238" s="13" t="n"/>
      <c r="J238" s="13" t="n"/>
      <c r="K238" s="12" t="n"/>
      <c r="L238" s="13" t="n"/>
      <c r="M238" s="15">
        <f>IF($A238="","",IF($D238="",1,$D238)*$E238+$F238-$H238)</f>
        <v/>
      </c>
      <c r="N238" s="15">
        <f>IF($A238="","",IF($B238="Etsy",IF($D238="",1,$D238)*Settings!$C$19,0))</f>
        <v/>
      </c>
      <c r="O238" s="15">
        <f>IF($A238="","",IF($B238="Etsy",Settings!$C$20*($M238+IF(Settings!$C$54="Y",0,$H238)),0))</f>
        <v/>
      </c>
      <c r="P238" s="15">
        <f>IF($A238="","",IF($B238="Etsy",Settings!$C$21*$M238*(1+Settings!$C$55)+Settings!$C$22,IF($B238="Shopify",Settings!$C$14*$M238+Settings!$C$15,0)))</f>
        <v/>
      </c>
      <c r="Q238" s="15">
        <f>IF($A238="","",IF(AND($B238="Etsy",$I238="Y"),MIN(Settings!$C$12*($M238+IF(Settings!$C$54="Y",0,$H238)),Settings!$C$25),0))</f>
        <v/>
      </c>
      <c r="R238" s="15">
        <f>IF($A238="","",IF(AND($B238="Etsy",$J238="Y",$L238="Y",$M238&gt;0),($O238+Settings!$C$21*$M238*(1+Settings!$C$55)+IF(Settings!$C$59="Y",$Q238,0))*$T238/$M238+IF(AND(Settings!$C$58="Y",$T238&gt;=$M238),Settings!$C$22,0),0))</f>
        <v/>
      </c>
      <c r="S238" s="15">
        <f>IF($A238="","",$N238+$O238+$P238+$Q238-$R238)</f>
        <v/>
      </c>
      <c r="T238" s="15">
        <f>IF($A238="","",IF($J238="Y",IF($K238="",$M238,MIN($K238,$M238)),0))</f>
        <v/>
      </c>
      <c r="U238" s="15">
        <f>IF($A238="","",IF($D238="",1,$D238)*IFERROR(INDEX(Products!$F$5:$F$54,MATCH($C238,Products!$A$5:$A$54,0)),0))</f>
        <v/>
      </c>
      <c r="V238" s="27">
        <f>IF($A238="","",$M238-$T238-$S238-$U238-$G238)</f>
        <v/>
      </c>
      <c r="W238" s="31">
        <f>IF($A238="","",IF($M238-$T238&gt;0,$V238/($M238-$T238),""))</f>
        <v/>
      </c>
      <c r="X238" s="35">
        <f>IF($A238="","",DATE(YEAR($A238),MONTH($A238),1))</f>
        <v/>
      </c>
    </row>
    <row r="239">
      <c r="A239" s="18" t="n"/>
      <c r="B239" s="13" t="n"/>
      <c r="C239" s="13" t="n"/>
      <c r="D239" s="26" t="n"/>
      <c r="E239" s="12" t="n"/>
      <c r="F239" s="12" t="n"/>
      <c r="G239" s="12" t="n"/>
      <c r="H239" s="12" t="n"/>
      <c r="I239" s="13" t="n"/>
      <c r="J239" s="13" t="n"/>
      <c r="K239" s="12" t="n"/>
      <c r="L239" s="13" t="n"/>
      <c r="M239" s="15">
        <f>IF($A239="","",IF($D239="",1,$D239)*$E239+$F239-$H239)</f>
        <v/>
      </c>
      <c r="N239" s="15">
        <f>IF($A239="","",IF($B239="Etsy",IF($D239="",1,$D239)*Settings!$C$19,0))</f>
        <v/>
      </c>
      <c r="O239" s="15">
        <f>IF($A239="","",IF($B239="Etsy",Settings!$C$20*($M239+IF(Settings!$C$54="Y",0,$H239)),0))</f>
        <v/>
      </c>
      <c r="P239" s="15">
        <f>IF($A239="","",IF($B239="Etsy",Settings!$C$21*$M239*(1+Settings!$C$55)+Settings!$C$22,IF($B239="Shopify",Settings!$C$14*$M239+Settings!$C$15,0)))</f>
        <v/>
      </c>
      <c r="Q239" s="15">
        <f>IF($A239="","",IF(AND($B239="Etsy",$I239="Y"),MIN(Settings!$C$12*($M239+IF(Settings!$C$54="Y",0,$H239)),Settings!$C$25),0))</f>
        <v/>
      </c>
      <c r="R239" s="15">
        <f>IF($A239="","",IF(AND($B239="Etsy",$J239="Y",$L239="Y",$M239&gt;0),($O239+Settings!$C$21*$M239*(1+Settings!$C$55)+IF(Settings!$C$59="Y",$Q239,0))*$T239/$M239+IF(AND(Settings!$C$58="Y",$T239&gt;=$M239),Settings!$C$22,0),0))</f>
        <v/>
      </c>
      <c r="S239" s="15">
        <f>IF($A239="","",$N239+$O239+$P239+$Q239-$R239)</f>
        <v/>
      </c>
      <c r="T239" s="15">
        <f>IF($A239="","",IF($J239="Y",IF($K239="",$M239,MIN($K239,$M239)),0))</f>
        <v/>
      </c>
      <c r="U239" s="15">
        <f>IF($A239="","",IF($D239="",1,$D239)*IFERROR(INDEX(Products!$F$5:$F$54,MATCH($C239,Products!$A$5:$A$54,0)),0))</f>
        <v/>
      </c>
      <c r="V239" s="27">
        <f>IF($A239="","",$M239-$T239-$S239-$U239-$G239)</f>
        <v/>
      </c>
      <c r="W239" s="31">
        <f>IF($A239="","",IF($M239-$T239&gt;0,$V239/($M239-$T239),""))</f>
        <v/>
      </c>
      <c r="X239" s="35">
        <f>IF($A239="","",DATE(YEAR($A239),MONTH($A239),1))</f>
        <v/>
      </c>
    </row>
    <row r="240">
      <c r="A240" s="18" t="n"/>
      <c r="B240" s="13" t="n"/>
      <c r="C240" s="13" t="n"/>
      <c r="D240" s="26" t="n"/>
      <c r="E240" s="12" t="n"/>
      <c r="F240" s="12" t="n"/>
      <c r="G240" s="12" t="n"/>
      <c r="H240" s="12" t="n"/>
      <c r="I240" s="13" t="n"/>
      <c r="J240" s="13" t="n"/>
      <c r="K240" s="12" t="n"/>
      <c r="L240" s="13" t="n"/>
      <c r="M240" s="15">
        <f>IF($A240="","",IF($D240="",1,$D240)*$E240+$F240-$H240)</f>
        <v/>
      </c>
      <c r="N240" s="15">
        <f>IF($A240="","",IF($B240="Etsy",IF($D240="",1,$D240)*Settings!$C$19,0))</f>
        <v/>
      </c>
      <c r="O240" s="15">
        <f>IF($A240="","",IF($B240="Etsy",Settings!$C$20*($M240+IF(Settings!$C$54="Y",0,$H240)),0))</f>
        <v/>
      </c>
      <c r="P240" s="15">
        <f>IF($A240="","",IF($B240="Etsy",Settings!$C$21*$M240*(1+Settings!$C$55)+Settings!$C$22,IF($B240="Shopify",Settings!$C$14*$M240+Settings!$C$15,0)))</f>
        <v/>
      </c>
      <c r="Q240" s="15">
        <f>IF($A240="","",IF(AND($B240="Etsy",$I240="Y"),MIN(Settings!$C$12*($M240+IF(Settings!$C$54="Y",0,$H240)),Settings!$C$25),0))</f>
        <v/>
      </c>
      <c r="R240" s="15">
        <f>IF($A240="","",IF(AND($B240="Etsy",$J240="Y",$L240="Y",$M240&gt;0),($O240+Settings!$C$21*$M240*(1+Settings!$C$55)+IF(Settings!$C$59="Y",$Q240,0))*$T240/$M240+IF(AND(Settings!$C$58="Y",$T240&gt;=$M240),Settings!$C$22,0),0))</f>
        <v/>
      </c>
      <c r="S240" s="15">
        <f>IF($A240="","",$N240+$O240+$P240+$Q240-$R240)</f>
        <v/>
      </c>
      <c r="T240" s="15">
        <f>IF($A240="","",IF($J240="Y",IF($K240="",$M240,MIN($K240,$M240)),0))</f>
        <v/>
      </c>
      <c r="U240" s="15">
        <f>IF($A240="","",IF($D240="",1,$D240)*IFERROR(INDEX(Products!$F$5:$F$54,MATCH($C240,Products!$A$5:$A$54,0)),0))</f>
        <v/>
      </c>
      <c r="V240" s="27">
        <f>IF($A240="","",$M240-$T240-$S240-$U240-$G240)</f>
        <v/>
      </c>
      <c r="W240" s="31">
        <f>IF($A240="","",IF($M240-$T240&gt;0,$V240/($M240-$T240),""))</f>
        <v/>
      </c>
      <c r="X240" s="35">
        <f>IF($A240="","",DATE(YEAR($A240),MONTH($A240),1))</f>
        <v/>
      </c>
    </row>
    <row r="241">
      <c r="A241" s="18" t="n"/>
      <c r="B241" s="13" t="n"/>
      <c r="C241" s="13" t="n"/>
      <c r="D241" s="26" t="n"/>
      <c r="E241" s="12" t="n"/>
      <c r="F241" s="12" t="n"/>
      <c r="G241" s="12" t="n"/>
      <c r="H241" s="12" t="n"/>
      <c r="I241" s="13" t="n"/>
      <c r="J241" s="13" t="n"/>
      <c r="K241" s="12" t="n"/>
      <c r="L241" s="13" t="n"/>
      <c r="M241" s="15">
        <f>IF($A241="","",IF($D241="",1,$D241)*$E241+$F241-$H241)</f>
        <v/>
      </c>
      <c r="N241" s="15">
        <f>IF($A241="","",IF($B241="Etsy",IF($D241="",1,$D241)*Settings!$C$19,0))</f>
        <v/>
      </c>
      <c r="O241" s="15">
        <f>IF($A241="","",IF($B241="Etsy",Settings!$C$20*($M241+IF(Settings!$C$54="Y",0,$H241)),0))</f>
        <v/>
      </c>
      <c r="P241" s="15">
        <f>IF($A241="","",IF($B241="Etsy",Settings!$C$21*$M241*(1+Settings!$C$55)+Settings!$C$22,IF($B241="Shopify",Settings!$C$14*$M241+Settings!$C$15,0)))</f>
        <v/>
      </c>
      <c r="Q241" s="15">
        <f>IF($A241="","",IF(AND($B241="Etsy",$I241="Y"),MIN(Settings!$C$12*($M241+IF(Settings!$C$54="Y",0,$H241)),Settings!$C$25),0))</f>
        <v/>
      </c>
      <c r="R241" s="15">
        <f>IF($A241="","",IF(AND($B241="Etsy",$J241="Y",$L241="Y",$M241&gt;0),($O241+Settings!$C$21*$M241*(1+Settings!$C$55)+IF(Settings!$C$59="Y",$Q241,0))*$T241/$M241+IF(AND(Settings!$C$58="Y",$T241&gt;=$M241),Settings!$C$22,0),0))</f>
        <v/>
      </c>
      <c r="S241" s="15">
        <f>IF($A241="","",$N241+$O241+$P241+$Q241-$R241)</f>
        <v/>
      </c>
      <c r="T241" s="15">
        <f>IF($A241="","",IF($J241="Y",IF($K241="",$M241,MIN($K241,$M241)),0))</f>
        <v/>
      </c>
      <c r="U241" s="15">
        <f>IF($A241="","",IF($D241="",1,$D241)*IFERROR(INDEX(Products!$F$5:$F$54,MATCH($C241,Products!$A$5:$A$54,0)),0))</f>
        <v/>
      </c>
      <c r="V241" s="27">
        <f>IF($A241="","",$M241-$T241-$S241-$U241-$G241)</f>
        <v/>
      </c>
      <c r="W241" s="31">
        <f>IF($A241="","",IF($M241-$T241&gt;0,$V241/($M241-$T241),""))</f>
        <v/>
      </c>
      <c r="X241" s="35">
        <f>IF($A241="","",DATE(YEAR($A241),MONTH($A241),1))</f>
        <v/>
      </c>
    </row>
    <row r="242">
      <c r="A242" s="18" t="n"/>
      <c r="B242" s="13" t="n"/>
      <c r="C242" s="13" t="n"/>
      <c r="D242" s="26" t="n"/>
      <c r="E242" s="12" t="n"/>
      <c r="F242" s="12" t="n"/>
      <c r="G242" s="12" t="n"/>
      <c r="H242" s="12" t="n"/>
      <c r="I242" s="13" t="n"/>
      <c r="J242" s="13" t="n"/>
      <c r="K242" s="12" t="n"/>
      <c r="L242" s="13" t="n"/>
      <c r="M242" s="15">
        <f>IF($A242="","",IF($D242="",1,$D242)*$E242+$F242-$H242)</f>
        <v/>
      </c>
      <c r="N242" s="15">
        <f>IF($A242="","",IF($B242="Etsy",IF($D242="",1,$D242)*Settings!$C$19,0))</f>
        <v/>
      </c>
      <c r="O242" s="15">
        <f>IF($A242="","",IF($B242="Etsy",Settings!$C$20*($M242+IF(Settings!$C$54="Y",0,$H242)),0))</f>
        <v/>
      </c>
      <c r="P242" s="15">
        <f>IF($A242="","",IF($B242="Etsy",Settings!$C$21*$M242*(1+Settings!$C$55)+Settings!$C$22,IF($B242="Shopify",Settings!$C$14*$M242+Settings!$C$15,0)))</f>
        <v/>
      </c>
      <c r="Q242" s="15">
        <f>IF($A242="","",IF(AND($B242="Etsy",$I242="Y"),MIN(Settings!$C$12*($M242+IF(Settings!$C$54="Y",0,$H242)),Settings!$C$25),0))</f>
        <v/>
      </c>
      <c r="R242" s="15">
        <f>IF($A242="","",IF(AND($B242="Etsy",$J242="Y",$L242="Y",$M242&gt;0),($O242+Settings!$C$21*$M242*(1+Settings!$C$55)+IF(Settings!$C$59="Y",$Q242,0))*$T242/$M242+IF(AND(Settings!$C$58="Y",$T242&gt;=$M242),Settings!$C$22,0),0))</f>
        <v/>
      </c>
      <c r="S242" s="15">
        <f>IF($A242="","",$N242+$O242+$P242+$Q242-$R242)</f>
        <v/>
      </c>
      <c r="T242" s="15">
        <f>IF($A242="","",IF($J242="Y",IF($K242="",$M242,MIN($K242,$M242)),0))</f>
        <v/>
      </c>
      <c r="U242" s="15">
        <f>IF($A242="","",IF($D242="",1,$D242)*IFERROR(INDEX(Products!$F$5:$F$54,MATCH($C242,Products!$A$5:$A$54,0)),0))</f>
        <v/>
      </c>
      <c r="V242" s="27">
        <f>IF($A242="","",$M242-$T242-$S242-$U242-$G242)</f>
        <v/>
      </c>
      <c r="W242" s="31">
        <f>IF($A242="","",IF($M242-$T242&gt;0,$V242/($M242-$T242),""))</f>
        <v/>
      </c>
      <c r="X242" s="35">
        <f>IF($A242="","",DATE(YEAR($A242),MONTH($A242),1))</f>
        <v/>
      </c>
    </row>
    <row r="243">
      <c r="A243" s="18" t="n"/>
      <c r="B243" s="13" t="n"/>
      <c r="C243" s="13" t="n"/>
      <c r="D243" s="26" t="n"/>
      <c r="E243" s="12" t="n"/>
      <c r="F243" s="12" t="n"/>
      <c r="G243" s="12" t="n"/>
      <c r="H243" s="12" t="n"/>
      <c r="I243" s="13" t="n"/>
      <c r="J243" s="13" t="n"/>
      <c r="K243" s="12" t="n"/>
      <c r="L243" s="13" t="n"/>
      <c r="M243" s="15">
        <f>IF($A243="","",IF($D243="",1,$D243)*$E243+$F243-$H243)</f>
        <v/>
      </c>
      <c r="N243" s="15">
        <f>IF($A243="","",IF($B243="Etsy",IF($D243="",1,$D243)*Settings!$C$19,0))</f>
        <v/>
      </c>
      <c r="O243" s="15">
        <f>IF($A243="","",IF($B243="Etsy",Settings!$C$20*($M243+IF(Settings!$C$54="Y",0,$H243)),0))</f>
        <v/>
      </c>
      <c r="P243" s="15">
        <f>IF($A243="","",IF($B243="Etsy",Settings!$C$21*$M243*(1+Settings!$C$55)+Settings!$C$22,IF($B243="Shopify",Settings!$C$14*$M243+Settings!$C$15,0)))</f>
        <v/>
      </c>
      <c r="Q243" s="15">
        <f>IF($A243="","",IF(AND($B243="Etsy",$I243="Y"),MIN(Settings!$C$12*($M243+IF(Settings!$C$54="Y",0,$H243)),Settings!$C$25),0))</f>
        <v/>
      </c>
      <c r="R243" s="15">
        <f>IF($A243="","",IF(AND($B243="Etsy",$J243="Y",$L243="Y",$M243&gt;0),($O243+Settings!$C$21*$M243*(1+Settings!$C$55)+IF(Settings!$C$59="Y",$Q243,0))*$T243/$M243+IF(AND(Settings!$C$58="Y",$T243&gt;=$M243),Settings!$C$22,0),0))</f>
        <v/>
      </c>
      <c r="S243" s="15">
        <f>IF($A243="","",$N243+$O243+$P243+$Q243-$R243)</f>
        <v/>
      </c>
      <c r="T243" s="15">
        <f>IF($A243="","",IF($J243="Y",IF($K243="",$M243,MIN($K243,$M243)),0))</f>
        <v/>
      </c>
      <c r="U243" s="15">
        <f>IF($A243="","",IF($D243="",1,$D243)*IFERROR(INDEX(Products!$F$5:$F$54,MATCH($C243,Products!$A$5:$A$54,0)),0))</f>
        <v/>
      </c>
      <c r="V243" s="27">
        <f>IF($A243="","",$M243-$T243-$S243-$U243-$G243)</f>
        <v/>
      </c>
      <c r="W243" s="31">
        <f>IF($A243="","",IF($M243-$T243&gt;0,$V243/($M243-$T243),""))</f>
        <v/>
      </c>
      <c r="X243" s="35">
        <f>IF($A243="","",DATE(YEAR($A243),MONTH($A243),1))</f>
        <v/>
      </c>
    </row>
    <row r="244">
      <c r="A244" s="18" t="n"/>
      <c r="B244" s="13" t="n"/>
      <c r="C244" s="13" t="n"/>
      <c r="D244" s="26" t="n"/>
      <c r="E244" s="12" t="n"/>
      <c r="F244" s="12" t="n"/>
      <c r="G244" s="12" t="n"/>
      <c r="H244" s="12" t="n"/>
      <c r="I244" s="13" t="n"/>
      <c r="J244" s="13" t="n"/>
      <c r="K244" s="12" t="n"/>
      <c r="L244" s="13" t="n"/>
      <c r="M244" s="15">
        <f>IF($A244="","",IF($D244="",1,$D244)*$E244+$F244-$H244)</f>
        <v/>
      </c>
      <c r="N244" s="15">
        <f>IF($A244="","",IF($B244="Etsy",IF($D244="",1,$D244)*Settings!$C$19,0))</f>
        <v/>
      </c>
      <c r="O244" s="15">
        <f>IF($A244="","",IF($B244="Etsy",Settings!$C$20*($M244+IF(Settings!$C$54="Y",0,$H244)),0))</f>
        <v/>
      </c>
      <c r="P244" s="15">
        <f>IF($A244="","",IF($B244="Etsy",Settings!$C$21*$M244*(1+Settings!$C$55)+Settings!$C$22,IF($B244="Shopify",Settings!$C$14*$M244+Settings!$C$15,0)))</f>
        <v/>
      </c>
      <c r="Q244" s="15">
        <f>IF($A244="","",IF(AND($B244="Etsy",$I244="Y"),MIN(Settings!$C$12*($M244+IF(Settings!$C$54="Y",0,$H244)),Settings!$C$25),0))</f>
        <v/>
      </c>
      <c r="R244" s="15">
        <f>IF($A244="","",IF(AND($B244="Etsy",$J244="Y",$L244="Y",$M244&gt;0),($O244+Settings!$C$21*$M244*(1+Settings!$C$55)+IF(Settings!$C$59="Y",$Q244,0))*$T244/$M244+IF(AND(Settings!$C$58="Y",$T244&gt;=$M244),Settings!$C$22,0),0))</f>
        <v/>
      </c>
      <c r="S244" s="15">
        <f>IF($A244="","",$N244+$O244+$P244+$Q244-$R244)</f>
        <v/>
      </c>
      <c r="T244" s="15">
        <f>IF($A244="","",IF($J244="Y",IF($K244="",$M244,MIN($K244,$M244)),0))</f>
        <v/>
      </c>
      <c r="U244" s="15">
        <f>IF($A244="","",IF($D244="",1,$D244)*IFERROR(INDEX(Products!$F$5:$F$54,MATCH($C244,Products!$A$5:$A$54,0)),0))</f>
        <v/>
      </c>
      <c r="V244" s="27">
        <f>IF($A244="","",$M244-$T244-$S244-$U244-$G244)</f>
        <v/>
      </c>
      <c r="W244" s="31">
        <f>IF($A244="","",IF($M244-$T244&gt;0,$V244/($M244-$T244),""))</f>
        <v/>
      </c>
      <c r="X244" s="35">
        <f>IF($A244="","",DATE(YEAR($A244),MONTH($A244),1))</f>
        <v/>
      </c>
    </row>
    <row r="245">
      <c r="A245" s="18" t="n"/>
      <c r="B245" s="13" t="n"/>
      <c r="C245" s="13" t="n"/>
      <c r="D245" s="26" t="n"/>
      <c r="E245" s="12" t="n"/>
      <c r="F245" s="12" t="n"/>
      <c r="G245" s="12" t="n"/>
      <c r="H245" s="12" t="n"/>
      <c r="I245" s="13" t="n"/>
      <c r="J245" s="13" t="n"/>
      <c r="K245" s="12" t="n"/>
      <c r="L245" s="13" t="n"/>
      <c r="M245" s="15">
        <f>IF($A245="","",IF($D245="",1,$D245)*$E245+$F245-$H245)</f>
        <v/>
      </c>
      <c r="N245" s="15">
        <f>IF($A245="","",IF($B245="Etsy",IF($D245="",1,$D245)*Settings!$C$19,0))</f>
        <v/>
      </c>
      <c r="O245" s="15">
        <f>IF($A245="","",IF($B245="Etsy",Settings!$C$20*($M245+IF(Settings!$C$54="Y",0,$H245)),0))</f>
        <v/>
      </c>
      <c r="P245" s="15">
        <f>IF($A245="","",IF($B245="Etsy",Settings!$C$21*$M245*(1+Settings!$C$55)+Settings!$C$22,IF($B245="Shopify",Settings!$C$14*$M245+Settings!$C$15,0)))</f>
        <v/>
      </c>
      <c r="Q245" s="15">
        <f>IF($A245="","",IF(AND($B245="Etsy",$I245="Y"),MIN(Settings!$C$12*($M245+IF(Settings!$C$54="Y",0,$H245)),Settings!$C$25),0))</f>
        <v/>
      </c>
      <c r="R245" s="15">
        <f>IF($A245="","",IF(AND($B245="Etsy",$J245="Y",$L245="Y",$M245&gt;0),($O245+Settings!$C$21*$M245*(1+Settings!$C$55)+IF(Settings!$C$59="Y",$Q245,0))*$T245/$M245+IF(AND(Settings!$C$58="Y",$T245&gt;=$M245),Settings!$C$22,0),0))</f>
        <v/>
      </c>
      <c r="S245" s="15">
        <f>IF($A245="","",$N245+$O245+$P245+$Q245-$R245)</f>
        <v/>
      </c>
      <c r="T245" s="15">
        <f>IF($A245="","",IF($J245="Y",IF($K245="",$M245,MIN($K245,$M245)),0))</f>
        <v/>
      </c>
      <c r="U245" s="15">
        <f>IF($A245="","",IF($D245="",1,$D245)*IFERROR(INDEX(Products!$F$5:$F$54,MATCH($C245,Products!$A$5:$A$54,0)),0))</f>
        <v/>
      </c>
      <c r="V245" s="27">
        <f>IF($A245="","",$M245-$T245-$S245-$U245-$G245)</f>
        <v/>
      </c>
      <c r="W245" s="31">
        <f>IF($A245="","",IF($M245-$T245&gt;0,$V245/($M245-$T245),""))</f>
        <v/>
      </c>
      <c r="X245" s="35">
        <f>IF($A245="","",DATE(YEAR($A245),MONTH($A245),1))</f>
        <v/>
      </c>
    </row>
    <row r="246">
      <c r="A246" s="18" t="n"/>
      <c r="B246" s="13" t="n"/>
      <c r="C246" s="13" t="n"/>
      <c r="D246" s="26" t="n"/>
      <c r="E246" s="12" t="n"/>
      <c r="F246" s="12" t="n"/>
      <c r="G246" s="12" t="n"/>
      <c r="H246" s="12" t="n"/>
      <c r="I246" s="13" t="n"/>
      <c r="J246" s="13" t="n"/>
      <c r="K246" s="12" t="n"/>
      <c r="L246" s="13" t="n"/>
      <c r="M246" s="15">
        <f>IF($A246="","",IF($D246="",1,$D246)*$E246+$F246-$H246)</f>
        <v/>
      </c>
      <c r="N246" s="15">
        <f>IF($A246="","",IF($B246="Etsy",IF($D246="",1,$D246)*Settings!$C$19,0))</f>
        <v/>
      </c>
      <c r="O246" s="15">
        <f>IF($A246="","",IF($B246="Etsy",Settings!$C$20*($M246+IF(Settings!$C$54="Y",0,$H246)),0))</f>
        <v/>
      </c>
      <c r="P246" s="15">
        <f>IF($A246="","",IF($B246="Etsy",Settings!$C$21*$M246*(1+Settings!$C$55)+Settings!$C$22,IF($B246="Shopify",Settings!$C$14*$M246+Settings!$C$15,0)))</f>
        <v/>
      </c>
      <c r="Q246" s="15">
        <f>IF($A246="","",IF(AND($B246="Etsy",$I246="Y"),MIN(Settings!$C$12*($M246+IF(Settings!$C$54="Y",0,$H246)),Settings!$C$25),0))</f>
        <v/>
      </c>
      <c r="R246" s="15">
        <f>IF($A246="","",IF(AND($B246="Etsy",$J246="Y",$L246="Y",$M246&gt;0),($O246+Settings!$C$21*$M246*(1+Settings!$C$55)+IF(Settings!$C$59="Y",$Q246,0))*$T246/$M246+IF(AND(Settings!$C$58="Y",$T246&gt;=$M246),Settings!$C$22,0),0))</f>
        <v/>
      </c>
      <c r="S246" s="15">
        <f>IF($A246="","",$N246+$O246+$P246+$Q246-$R246)</f>
        <v/>
      </c>
      <c r="T246" s="15">
        <f>IF($A246="","",IF($J246="Y",IF($K246="",$M246,MIN($K246,$M246)),0))</f>
        <v/>
      </c>
      <c r="U246" s="15">
        <f>IF($A246="","",IF($D246="",1,$D246)*IFERROR(INDEX(Products!$F$5:$F$54,MATCH($C246,Products!$A$5:$A$54,0)),0))</f>
        <v/>
      </c>
      <c r="V246" s="27">
        <f>IF($A246="","",$M246-$T246-$S246-$U246-$G246)</f>
        <v/>
      </c>
      <c r="W246" s="31">
        <f>IF($A246="","",IF($M246-$T246&gt;0,$V246/($M246-$T246),""))</f>
        <v/>
      </c>
      <c r="X246" s="35">
        <f>IF($A246="","",DATE(YEAR($A246),MONTH($A246),1))</f>
        <v/>
      </c>
    </row>
    <row r="247">
      <c r="A247" s="18" t="n"/>
      <c r="B247" s="13" t="n"/>
      <c r="C247" s="13" t="n"/>
      <c r="D247" s="26" t="n"/>
      <c r="E247" s="12" t="n"/>
      <c r="F247" s="12" t="n"/>
      <c r="G247" s="12" t="n"/>
      <c r="H247" s="12" t="n"/>
      <c r="I247" s="13" t="n"/>
      <c r="J247" s="13" t="n"/>
      <c r="K247" s="12" t="n"/>
      <c r="L247" s="13" t="n"/>
      <c r="M247" s="15">
        <f>IF($A247="","",IF($D247="",1,$D247)*$E247+$F247-$H247)</f>
        <v/>
      </c>
      <c r="N247" s="15">
        <f>IF($A247="","",IF($B247="Etsy",IF($D247="",1,$D247)*Settings!$C$19,0))</f>
        <v/>
      </c>
      <c r="O247" s="15">
        <f>IF($A247="","",IF($B247="Etsy",Settings!$C$20*($M247+IF(Settings!$C$54="Y",0,$H247)),0))</f>
        <v/>
      </c>
      <c r="P247" s="15">
        <f>IF($A247="","",IF($B247="Etsy",Settings!$C$21*$M247*(1+Settings!$C$55)+Settings!$C$22,IF($B247="Shopify",Settings!$C$14*$M247+Settings!$C$15,0)))</f>
        <v/>
      </c>
      <c r="Q247" s="15">
        <f>IF($A247="","",IF(AND($B247="Etsy",$I247="Y"),MIN(Settings!$C$12*($M247+IF(Settings!$C$54="Y",0,$H247)),Settings!$C$25),0))</f>
        <v/>
      </c>
      <c r="R247" s="15">
        <f>IF($A247="","",IF(AND($B247="Etsy",$J247="Y",$L247="Y",$M247&gt;0),($O247+Settings!$C$21*$M247*(1+Settings!$C$55)+IF(Settings!$C$59="Y",$Q247,0))*$T247/$M247+IF(AND(Settings!$C$58="Y",$T247&gt;=$M247),Settings!$C$22,0),0))</f>
        <v/>
      </c>
      <c r="S247" s="15">
        <f>IF($A247="","",$N247+$O247+$P247+$Q247-$R247)</f>
        <v/>
      </c>
      <c r="T247" s="15">
        <f>IF($A247="","",IF($J247="Y",IF($K247="",$M247,MIN($K247,$M247)),0))</f>
        <v/>
      </c>
      <c r="U247" s="15">
        <f>IF($A247="","",IF($D247="",1,$D247)*IFERROR(INDEX(Products!$F$5:$F$54,MATCH($C247,Products!$A$5:$A$54,0)),0))</f>
        <v/>
      </c>
      <c r="V247" s="27">
        <f>IF($A247="","",$M247-$T247-$S247-$U247-$G247)</f>
        <v/>
      </c>
      <c r="W247" s="31">
        <f>IF($A247="","",IF($M247-$T247&gt;0,$V247/($M247-$T247),""))</f>
        <v/>
      </c>
      <c r="X247" s="35">
        <f>IF($A247="","",DATE(YEAR($A247),MONTH($A247),1))</f>
        <v/>
      </c>
    </row>
    <row r="248">
      <c r="A248" s="18" t="n"/>
      <c r="B248" s="13" t="n"/>
      <c r="C248" s="13" t="n"/>
      <c r="D248" s="26" t="n"/>
      <c r="E248" s="12" t="n"/>
      <c r="F248" s="12" t="n"/>
      <c r="G248" s="12" t="n"/>
      <c r="H248" s="12" t="n"/>
      <c r="I248" s="13" t="n"/>
      <c r="J248" s="13" t="n"/>
      <c r="K248" s="12" t="n"/>
      <c r="L248" s="13" t="n"/>
      <c r="M248" s="15">
        <f>IF($A248="","",IF($D248="",1,$D248)*$E248+$F248-$H248)</f>
        <v/>
      </c>
      <c r="N248" s="15">
        <f>IF($A248="","",IF($B248="Etsy",IF($D248="",1,$D248)*Settings!$C$19,0))</f>
        <v/>
      </c>
      <c r="O248" s="15">
        <f>IF($A248="","",IF($B248="Etsy",Settings!$C$20*($M248+IF(Settings!$C$54="Y",0,$H248)),0))</f>
        <v/>
      </c>
      <c r="P248" s="15">
        <f>IF($A248="","",IF($B248="Etsy",Settings!$C$21*$M248*(1+Settings!$C$55)+Settings!$C$22,IF($B248="Shopify",Settings!$C$14*$M248+Settings!$C$15,0)))</f>
        <v/>
      </c>
      <c r="Q248" s="15">
        <f>IF($A248="","",IF(AND($B248="Etsy",$I248="Y"),MIN(Settings!$C$12*($M248+IF(Settings!$C$54="Y",0,$H248)),Settings!$C$25),0))</f>
        <v/>
      </c>
      <c r="R248" s="15">
        <f>IF($A248="","",IF(AND($B248="Etsy",$J248="Y",$L248="Y",$M248&gt;0),($O248+Settings!$C$21*$M248*(1+Settings!$C$55)+IF(Settings!$C$59="Y",$Q248,0))*$T248/$M248+IF(AND(Settings!$C$58="Y",$T248&gt;=$M248),Settings!$C$22,0),0))</f>
        <v/>
      </c>
      <c r="S248" s="15">
        <f>IF($A248="","",$N248+$O248+$P248+$Q248-$R248)</f>
        <v/>
      </c>
      <c r="T248" s="15">
        <f>IF($A248="","",IF($J248="Y",IF($K248="",$M248,MIN($K248,$M248)),0))</f>
        <v/>
      </c>
      <c r="U248" s="15">
        <f>IF($A248="","",IF($D248="",1,$D248)*IFERROR(INDEX(Products!$F$5:$F$54,MATCH($C248,Products!$A$5:$A$54,0)),0))</f>
        <v/>
      </c>
      <c r="V248" s="27">
        <f>IF($A248="","",$M248-$T248-$S248-$U248-$G248)</f>
        <v/>
      </c>
      <c r="W248" s="31">
        <f>IF($A248="","",IF($M248-$T248&gt;0,$V248/($M248-$T248),""))</f>
        <v/>
      </c>
      <c r="X248" s="35">
        <f>IF($A248="","",DATE(YEAR($A248),MONTH($A248),1))</f>
        <v/>
      </c>
    </row>
    <row r="249">
      <c r="A249" s="18" t="n"/>
      <c r="B249" s="13" t="n"/>
      <c r="C249" s="13" t="n"/>
      <c r="D249" s="26" t="n"/>
      <c r="E249" s="12" t="n"/>
      <c r="F249" s="12" t="n"/>
      <c r="G249" s="12" t="n"/>
      <c r="H249" s="12" t="n"/>
      <c r="I249" s="13" t="n"/>
      <c r="J249" s="13" t="n"/>
      <c r="K249" s="12" t="n"/>
      <c r="L249" s="13" t="n"/>
      <c r="M249" s="15">
        <f>IF($A249="","",IF($D249="",1,$D249)*$E249+$F249-$H249)</f>
        <v/>
      </c>
      <c r="N249" s="15">
        <f>IF($A249="","",IF($B249="Etsy",IF($D249="",1,$D249)*Settings!$C$19,0))</f>
        <v/>
      </c>
      <c r="O249" s="15">
        <f>IF($A249="","",IF($B249="Etsy",Settings!$C$20*($M249+IF(Settings!$C$54="Y",0,$H249)),0))</f>
        <v/>
      </c>
      <c r="P249" s="15">
        <f>IF($A249="","",IF($B249="Etsy",Settings!$C$21*$M249*(1+Settings!$C$55)+Settings!$C$22,IF($B249="Shopify",Settings!$C$14*$M249+Settings!$C$15,0)))</f>
        <v/>
      </c>
      <c r="Q249" s="15">
        <f>IF($A249="","",IF(AND($B249="Etsy",$I249="Y"),MIN(Settings!$C$12*($M249+IF(Settings!$C$54="Y",0,$H249)),Settings!$C$25),0))</f>
        <v/>
      </c>
      <c r="R249" s="15">
        <f>IF($A249="","",IF(AND($B249="Etsy",$J249="Y",$L249="Y",$M249&gt;0),($O249+Settings!$C$21*$M249*(1+Settings!$C$55)+IF(Settings!$C$59="Y",$Q249,0))*$T249/$M249+IF(AND(Settings!$C$58="Y",$T249&gt;=$M249),Settings!$C$22,0),0))</f>
        <v/>
      </c>
      <c r="S249" s="15">
        <f>IF($A249="","",$N249+$O249+$P249+$Q249-$R249)</f>
        <v/>
      </c>
      <c r="T249" s="15">
        <f>IF($A249="","",IF($J249="Y",IF($K249="",$M249,MIN($K249,$M249)),0))</f>
        <v/>
      </c>
      <c r="U249" s="15">
        <f>IF($A249="","",IF($D249="",1,$D249)*IFERROR(INDEX(Products!$F$5:$F$54,MATCH($C249,Products!$A$5:$A$54,0)),0))</f>
        <v/>
      </c>
      <c r="V249" s="27">
        <f>IF($A249="","",$M249-$T249-$S249-$U249-$G249)</f>
        <v/>
      </c>
      <c r="W249" s="31">
        <f>IF($A249="","",IF($M249-$T249&gt;0,$V249/($M249-$T249),""))</f>
        <v/>
      </c>
      <c r="X249" s="35">
        <f>IF($A249="","",DATE(YEAR($A249),MONTH($A249),1))</f>
        <v/>
      </c>
    </row>
    <row r="250">
      <c r="A250" s="18" t="n"/>
      <c r="B250" s="13" t="n"/>
      <c r="C250" s="13" t="n"/>
      <c r="D250" s="26" t="n"/>
      <c r="E250" s="12" t="n"/>
      <c r="F250" s="12" t="n"/>
      <c r="G250" s="12" t="n"/>
      <c r="H250" s="12" t="n"/>
      <c r="I250" s="13" t="n"/>
      <c r="J250" s="13" t="n"/>
      <c r="K250" s="12" t="n"/>
      <c r="L250" s="13" t="n"/>
      <c r="M250" s="15">
        <f>IF($A250="","",IF($D250="",1,$D250)*$E250+$F250-$H250)</f>
        <v/>
      </c>
      <c r="N250" s="15">
        <f>IF($A250="","",IF($B250="Etsy",IF($D250="",1,$D250)*Settings!$C$19,0))</f>
        <v/>
      </c>
      <c r="O250" s="15">
        <f>IF($A250="","",IF($B250="Etsy",Settings!$C$20*($M250+IF(Settings!$C$54="Y",0,$H250)),0))</f>
        <v/>
      </c>
      <c r="P250" s="15">
        <f>IF($A250="","",IF($B250="Etsy",Settings!$C$21*$M250*(1+Settings!$C$55)+Settings!$C$22,IF($B250="Shopify",Settings!$C$14*$M250+Settings!$C$15,0)))</f>
        <v/>
      </c>
      <c r="Q250" s="15">
        <f>IF($A250="","",IF(AND($B250="Etsy",$I250="Y"),MIN(Settings!$C$12*($M250+IF(Settings!$C$54="Y",0,$H250)),Settings!$C$25),0))</f>
        <v/>
      </c>
      <c r="R250" s="15">
        <f>IF($A250="","",IF(AND($B250="Etsy",$J250="Y",$L250="Y",$M250&gt;0),($O250+Settings!$C$21*$M250*(1+Settings!$C$55)+IF(Settings!$C$59="Y",$Q250,0))*$T250/$M250+IF(AND(Settings!$C$58="Y",$T250&gt;=$M250),Settings!$C$22,0),0))</f>
        <v/>
      </c>
      <c r="S250" s="15">
        <f>IF($A250="","",$N250+$O250+$P250+$Q250-$R250)</f>
        <v/>
      </c>
      <c r="T250" s="15">
        <f>IF($A250="","",IF($J250="Y",IF($K250="",$M250,MIN($K250,$M250)),0))</f>
        <v/>
      </c>
      <c r="U250" s="15">
        <f>IF($A250="","",IF($D250="",1,$D250)*IFERROR(INDEX(Products!$F$5:$F$54,MATCH($C250,Products!$A$5:$A$54,0)),0))</f>
        <v/>
      </c>
      <c r="V250" s="27">
        <f>IF($A250="","",$M250-$T250-$S250-$U250-$G250)</f>
        <v/>
      </c>
      <c r="W250" s="31">
        <f>IF($A250="","",IF($M250-$T250&gt;0,$V250/($M250-$T250),""))</f>
        <v/>
      </c>
      <c r="X250" s="35">
        <f>IF($A250="","",DATE(YEAR($A250),MONTH($A250),1))</f>
        <v/>
      </c>
    </row>
    <row r="251">
      <c r="A251" s="18" t="n"/>
      <c r="B251" s="13" t="n"/>
      <c r="C251" s="13" t="n"/>
      <c r="D251" s="26" t="n"/>
      <c r="E251" s="12" t="n"/>
      <c r="F251" s="12" t="n"/>
      <c r="G251" s="12" t="n"/>
      <c r="H251" s="12" t="n"/>
      <c r="I251" s="13" t="n"/>
      <c r="J251" s="13" t="n"/>
      <c r="K251" s="12" t="n"/>
      <c r="L251" s="13" t="n"/>
      <c r="M251" s="15">
        <f>IF($A251="","",IF($D251="",1,$D251)*$E251+$F251-$H251)</f>
        <v/>
      </c>
      <c r="N251" s="15">
        <f>IF($A251="","",IF($B251="Etsy",IF($D251="",1,$D251)*Settings!$C$19,0))</f>
        <v/>
      </c>
      <c r="O251" s="15">
        <f>IF($A251="","",IF($B251="Etsy",Settings!$C$20*($M251+IF(Settings!$C$54="Y",0,$H251)),0))</f>
        <v/>
      </c>
      <c r="P251" s="15">
        <f>IF($A251="","",IF($B251="Etsy",Settings!$C$21*$M251*(1+Settings!$C$55)+Settings!$C$22,IF($B251="Shopify",Settings!$C$14*$M251+Settings!$C$15,0)))</f>
        <v/>
      </c>
      <c r="Q251" s="15">
        <f>IF($A251="","",IF(AND($B251="Etsy",$I251="Y"),MIN(Settings!$C$12*($M251+IF(Settings!$C$54="Y",0,$H251)),Settings!$C$25),0))</f>
        <v/>
      </c>
      <c r="R251" s="15">
        <f>IF($A251="","",IF(AND($B251="Etsy",$J251="Y",$L251="Y",$M251&gt;0),($O251+Settings!$C$21*$M251*(1+Settings!$C$55)+IF(Settings!$C$59="Y",$Q251,0))*$T251/$M251+IF(AND(Settings!$C$58="Y",$T251&gt;=$M251),Settings!$C$22,0),0))</f>
        <v/>
      </c>
      <c r="S251" s="15">
        <f>IF($A251="","",$N251+$O251+$P251+$Q251-$R251)</f>
        <v/>
      </c>
      <c r="T251" s="15">
        <f>IF($A251="","",IF($J251="Y",IF($K251="",$M251,MIN($K251,$M251)),0))</f>
        <v/>
      </c>
      <c r="U251" s="15">
        <f>IF($A251="","",IF($D251="",1,$D251)*IFERROR(INDEX(Products!$F$5:$F$54,MATCH($C251,Products!$A$5:$A$54,0)),0))</f>
        <v/>
      </c>
      <c r="V251" s="27">
        <f>IF($A251="","",$M251-$T251-$S251-$U251-$G251)</f>
        <v/>
      </c>
      <c r="W251" s="31">
        <f>IF($A251="","",IF($M251-$T251&gt;0,$V251/($M251-$T251),""))</f>
        <v/>
      </c>
      <c r="X251" s="35">
        <f>IF($A251="","",DATE(YEAR($A251),MONTH($A251),1))</f>
        <v/>
      </c>
    </row>
    <row r="252">
      <c r="A252" s="18" t="n"/>
      <c r="B252" s="13" t="n"/>
      <c r="C252" s="13" t="n"/>
      <c r="D252" s="26" t="n"/>
      <c r="E252" s="12" t="n"/>
      <c r="F252" s="12" t="n"/>
      <c r="G252" s="12" t="n"/>
      <c r="H252" s="12" t="n"/>
      <c r="I252" s="13" t="n"/>
      <c r="J252" s="13" t="n"/>
      <c r="K252" s="12" t="n"/>
      <c r="L252" s="13" t="n"/>
      <c r="M252" s="15">
        <f>IF($A252="","",IF($D252="",1,$D252)*$E252+$F252-$H252)</f>
        <v/>
      </c>
      <c r="N252" s="15">
        <f>IF($A252="","",IF($B252="Etsy",IF($D252="",1,$D252)*Settings!$C$19,0))</f>
        <v/>
      </c>
      <c r="O252" s="15">
        <f>IF($A252="","",IF($B252="Etsy",Settings!$C$20*($M252+IF(Settings!$C$54="Y",0,$H252)),0))</f>
        <v/>
      </c>
      <c r="P252" s="15">
        <f>IF($A252="","",IF($B252="Etsy",Settings!$C$21*$M252*(1+Settings!$C$55)+Settings!$C$22,IF($B252="Shopify",Settings!$C$14*$M252+Settings!$C$15,0)))</f>
        <v/>
      </c>
      <c r="Q252" s="15">
        <f>IF($A252="","",IF(AND($B252="Etsy",$I252="Y"),MIN(Settings!$C$12*($M252+IF(Settings!$C$54="Y",0,$H252)),Settings!$C$25),0))</f>
        <v/>
      </c>
      <c r="R252" s="15">
        <f>IF($A252="","",IF(AND($B252="Etsy",$J252="Y",$L252="Y",$M252&gt;0),($O252+Settings!$C$21*$M252*(1+Settings!$C$55)+IF(Settings!$C$59="Y",$Q252,0))*$T252/$M252+IF(AND(Settings!$C$58="Y",$T252&gt;=$M252),Settings!$C$22,0),0))</f>
        <v/>
      </c>
      <c r="S252" s="15">
        <f>IF($A252="","",$N252+$O252+$P252+$Q252-$R252)</f>
        <v/>
      </c>
      <c r="T252" s="15">
        <f>IF($A252="","",IF($J252="Y",IF($K252="",$M252,MIN($K252,$M252)),0))</f>
        <v/>
      </c>
      <c r="U252" s="15">
        <f>IF($A252="","",IF($D252="",1,$D252)*IFERROR(INDEX(Products!$F$5:$F$54,MATCH($C252,Products!$A$5:$A$54,0)),0))</f>
        <v/>
      </c>
      <c r="V252" s="27">
        <f>IF($A252="","",$M252-$T252-$S252-$U252-$G252)</f>
        <v/>
      </c>
      <c r="W252" s="31">
        <f>IF($A252="","",IF($M252-$T252&gt;0,$V252/($M252-$T252),""))</f>
        <v/>
      </c>
      <c r="X252" s="35">
        <f>IF($A252="","",DATE(YEAR($A252),MONTH($A252),1))</f>
        <v/>
      </c>
    </row>
    <row r="253">
      <c r="A253" s="18" t="n"/>
      <c r="B253" s="13" t="n"/>
      <c r="C253" s="13" t="n"/>
      <c r="D253" s="26" t="n"/>
      <c r="E253" s="12" t="n"/>
      <c r="F253" s="12" t="n"/>
      <c r="G253" s="12" t="n"/>
      <c r="H253" s="12" t="n"/>
      <c r="I253" s="13" t="n"/>
      <c r="J253" s="13" t="n"/>
      <c r="K253" s="12" t="n"/>
      <c r="L253" s="13" t="n"/>
      <c r="M253" s="15">
        <f>IF($A253="","",IF($D253="",1,$D253)*$E253+$F253-$H253)</f>
        <v/>
      </c>
      <c r="N253" s="15">
        <f>IF($A253="","",IF($B253="Etsy",IF($D253="",1,$D253)*Settings!$C$19,0))</f>
        <v/>
      </c>
      <c r="O253" s="15">
        <f>IF($A253="","",IF($B253="Etsy",Settings!$C$20*($M253+IF(Settings!$C$54="Y",0,$H253)),0))</f>
        <v/>
      </c>
      <c r="P253" s="15">
        <f>IF($A253="","",IF($B253="Etsy",Settings!$C$21*$M253*(1+Settings!$C$55)+Settings!$C$22,IF($B253="Shopify",Settings!$C$14*$M253+Settings!$C$15,0)))</f>
        <v/>
      </c>
      <c r="Q253" s="15">
        <f>IF($A253="","",IF(AND($B253="Etsy",$I253="Y"),MIN(Settings!$C$12*($M253+IF(Settings!$C$54="Y",0,$H253)),Settings!$C$25),0))</f>
        <v/>
      </c>
      <c r="R253" s="15">
        <f>IF($A253="","",IF(AND($B253="Etsy",$J253="Y",$L253="Y",$M253&gt;0),($O253+Settings!$C$21*$M253*(1+Settings!$C$55)+IF(Settings!$C$59="Y",$Q253,0))*$T253/$M253+IF(AND(Settings!$C$58="Y",$T253&gt;=$M253),Settings!$C$22,0),0))</f>
        <v/>
      </c>
      <c r="S253" s="15">
        <f>IF($A253="","",$N253+$O253+$P253+$Q253-$R253)</f>
        <v/>
      </c>
      <c r="T253" s="15">
        <f>IF($A253="","",IF($J253="Y",IF($K253="",$M253,MIN($K253,$M253)),0))</f>
        <v/>
      </c>
      <c r="U253" s="15">
        <f>IF($A253="","",IF($D253="",1,$D253)*IFERROR(INDEX(Products!$F$5:$F$54,MATCH($C253,Products!$A$5:$A$54,0)),0))</f>
        <v/>
      </c>
      <c r="V253" s="27">
        <f>IF($A253="","",$M253-$T253-$S253-$U253-$G253)</f>
        <v/>
      </c>
      <c r="W253" s="31">
        <f>IF($A253="","",IF($M253-$T253&gt;0,$V253/($M253-$T253),""))</f>
        <v/>
      </c>
      <c r="X253" s="35">
        <f>IF($A253="","",DATE(YEAR($A253),MONTH($A253),1))</f>
        <v/>
      </c>
    </row>
    <row r="254">
      <c r="A254" s="18" t="n"/>
      <c r="B254" s="13" t="n"/>
      <c r="C254" s="13" t="n"/>
      <c r="D254" s="26" t="n"/>
      <c r="E254" s="12" t="n"/>
      <c r="F254" s="12" t="n"/>
      <c r="G254" s="12" t="n"/>
      <c r="H254" s="12" t="n"/>
      <c r="I254" s="13" t="n"/>
      <c r="J254" s="13" t="n"/>
      <c r="K254" s="12" t="n"/>
      <c r="L254" s="13" t="n"/>
      <c r="M254" s="15">
        <f>IF($A254="","",IF($D254="",1,$D254)*$E254+$F254-$H254)</f>
        <v/>
      </c>
      <c r="N254" s="15">
        <f>IF($A254="","",IF($B254="Etsy",IF($D254="",1,$D254)*Settings!$C$19,0))</f>
        <v/>
      </c>
      <c r="O254" s="15">
        <f>IF($A254="","",IF($B254="Etsy",Settings!$C$20*($M254+IF(Settings!$C$54="Y",0,$H254)),0))</f>
        <v/>
      </c>
      <c r="P254" s="15">
        <f>IF($A254="","",IF($B254="Etsy",Settings!$C$21*$M254*(1+Settings!$C$55)+Settings!$C$22,IF($B254="Shopify",Settings!$C$14*$M254+Settings!$C$15,0)))</f>
        <v/>
      </c>
      <c r="Q254" s="15">
        <f>IF($A254="","",IF(AND($B254="Etsy",$I254="Y"),MIN(Settings!$C$12*($M254+IF(Settings!$C$54="Y",0,$H254)),Settings!$C$25),0))</f>
        <v/>
      </c>
      <c r="R254" s="15">
        <f>IF($A254="","",IF(AND($B254="Etsy",$J254="Y",$L254="Y",$M254&gt;0),($O254+Settings!$C$21*$M254*(1+Settings!$C$55)+IF(Settings!$C$59="Y",$Q254,0))*$T254/$M254+IF(AND(Settings!$C$58="Y",$T254&gt;=$M254),Settings!$C$22,0),0))</f>
        <v/>
      </c>
      <c r="S254" s="15">
        <f>IF($A254="","",$N254+$O254+$P254+$Q254-$R254)</f>
        <v/>
      </c>
      <c r="T254" s="15">
        <f>IF($A254="","",IF($J254="Y",IF($K254="",$M254,MIN($K254,$M254)),0))</f>
        <v/>
      </c>
      <c r="U254" s="15">
        <f>IF($A254="","",IF($D254="",1,$D254)*IFERROR(INDEX(Products!$F$5:$F$54,MATCH($C254,Products!$A$5:$A$54,0)),0))</f>
        <v/>
      </c>
      <c r="V254" s="27">
        <f>IF($A254="","",$M254-$T254-$S254-$U254-$G254)</f>
        <v/>
      </c>
      <c r="W254" s="31">
        <f>IF($A254="","",IF($M254-$T254&gt;0,$V254/($M254-$T254),""))</f>
        <v/>
      </c>
      <c r="X254" s="35">
        <f>IF($A254="","",DATE(YEAR($A254),MONTH($A254),1))</f>
        <v/>
      </c>
    </row>
    <row r="255">
      <c r="A255" s="18" t="n"/>
      <c r="B255" s="13" t="n"/>
      <c r="C255" s="13" t="n"/>
      <c r="D255" s="26" t="n"/>
      <c r="E255" s="12" t="n"/>
      <c r="F255" s="12" t="n"/>
      <c r="G255" s="12" t="n"/>
      <c r="H255" s="12" t="n"/>
      <c r="I255" s="13" t="n"/>
      <c r="J255" s="13" t="n"/>
      <c r="K255" s="12" t="n"/>
      <c r="L255" s="13" t="n"/>
      <c r="M255" s="15">
        <f>IF($A255="","",IF($D255="",1,$D255)*$E255+$F255-$H255)</f>
        <v/>
      </c>
      <c r="N255" s="15">
        <f>IF($A255="","",IF($B255="Etsy",IF($D255="",1,$D255)*Settings!$C$19,0))</f>
        <v/>
      </c>
      <c r="O255" s="15">
        <f>IF($A255="","",IF($B255="Etsy",Settings!$C$20*($M255+IF(Settings!$C$54="Y",0,$H255)),0))</f>
        <v/>
      </c>
      <c r="P255" s="15">
        <f>IF($A255="","",IF($B255="Etsy",Settings!$C$21*$M255*(1+Settings!$C$55)+Settings!$C$22,IF($B255="Shopify",Settings!$C$14*$M255+Settings!$C$15,0)))</f>
        <v/>
      </c>
      <c r="Q255" s="15">
        <f>IF($A255="","",IF(AND($B255="Etsy",$I255="Y"),MIN(Settings!$C$12*($M255+IF(Settings!$C$54="Y",0,$H255)),Settings!$C$25),0))</f>
        <v/>
      </c>
      <c r="R255" s="15">
        <f>IF($A255="","",IF(AND($B255="Etsy",$J255="Y",$L255="Y",$M255&gt;0),($O255+Settings!$C$21*$M255*(1+Settings!$C$55)+IF(Settings!$C$59="Y",$Q255,0))*$T255/$M255+IF(AND(Settings!$C$58="Y",$T255&gt;=$M255),Settings!$C$22,0),0))</f>
        <v/>
      </c>
      <c r="S255" s="15">
        <f>IF($A255="","",$N255+$O255+$P255+$Q255-$R255)</f>
        <v/>
      </c>
      <c r="T255" s="15">
        <f>IF($A255="","",IF($J255="Y",IF($K255="",$M255,MIN($K255,$M255)),0))</f>
        <v/>
      </c>
      <c r="U255" s="15">
        <f>IF($A255="","",IF($D255="",1,$D255)*IFERROR(INDEX(Products!$F$5:$F$54,MATCH($C255,Products!$A$5:$A$54,0)),0))</f>
        <v/>
      </c>
      <c r="V255" s="27">
        <f>IF($A255="","",$M255-$T255-$S255-$U255-$G255)</f>
        <v/>
      </c>
      <c r="W255" s="31">
        <f>IF($A255="","",IF($M255-$T255&gt;0,$V255/($M255-$T255),""))</f>
        <v/>
      </c>
      <c r="X255" s="35">
        <f>IF($A255="","",DATE(YEAR($A255),MONTH($A255),1))</f>
        <v/>
      </c>
    </row>
    <row r="256">
      <c r="A256" s="18" t="n"/>
      <c r="B256" s="13" t="n"/>
      <c r="C256" s="13" t="n"/>
      <c r="D256" s="26" t="n"/>
      <c r="E256" s="12" t="n"/>
      <c r="F256" s="12" t="n"/>
      <c r="G256" s="12" t="n"/>
      <c r="H256" s="12" t="n"/>
      <c r="I256" s="13" t="n"/>
      <c r="J256" s="13" t="n"/>
      <c r="K256" s="12" t="n"/>
      <c r="L256" s="13" t="n"/>
      <c r="M256" s="15">
        <f>IF($A256="","",IF($D256="",1,$D256)*$E256+$F256-$H256)</f>
        <v/>
      </c>
      <c r="N256" s="15">
        <f>IF($A256="","",IF($B256="Etsy",IF($D256="",1,$D256)*Settings!$C$19,0))</f>
        <v/>
      </c>
      <c r="O256" s="15">
        <f>IF($A256="","",IF($B256="Etsy",Settings!$C$20*($M256+IF(Settings!$C$54="Y",0,$H256)),0))</f>
        <v/>
      </c>
      <c r="P256" s="15">
        <f>IF($A256="","",IF($B256="Etsy",Settings!$C$21*$M256*(1+Settings!$C$55)+Settings!$C$22,IF($B256="Shopify",Settings!$C$14*$M256+Settings!$C$15,0)))</f>
        <v/>
      </c>
      <c r="Q256" s="15">
        <f>IF($A256="","",IF(AND($B256="Etsy",$I256="Y"),MIN(Settings!$C$12*($M256+IF(Settings!$C$54="Y",0,$H256)),Settings!$C$25),0))</f>
        <v/>
      </c>
      <c r="R256" s="15">
        <f>IF($A256="","",IF(AND($B256="Etsy",$J256="Y",$L256="Y",$M256&gt;0),($O256+Settings!$C$21*$M256*(1+Settings!$C$55)+IF(Settings!$C$59="Y",$Q256,0))*$T256/$M256+IF(AND(Settings!$C$58="Y",$T256&gt;=$M256),Settings!$C$22,0),0))</f>
        <v/>
      </c>
      <c r="S256" s="15">
        <f>IF($A256="","",$N256+$O256+$P256+$Q256-$R256)</f>
        <v/>
      </c>
      <c r="T256" s="15">
        <f>IF($A256="","",IF($J256="Y",IF($K256="",$M256,MIN($K256,$M256)),0))</f>
        <v/>
      </c>
      <c r="U256" s="15">
        <f>IF($A256="","",IF($D256="",1,$D256)*IFERROR(INDEX(Products!$F$5:$F$54,MATCH($C256,Products!$A$5:$A$54,0)),0))</f>
        <v/>
      </c>
      <c r="V256" s="27">
        <f>IF($A256="","",$M256-$T256-$S256-$U256-$G256)</f>
        <v/>
      </c>
      <c r="W256" s="31">
        <f>IF($A256="","",IF($M256-$T256&gt;0,$V256/($M256-$T256),""))</f>
        <v/>
      </c>
      <c r="X256" s="35">
        <f>IF($A256="","",DATE(YEAR($A256),MONTH($A256),1))</f>
        <v/>
      </c>
    </row>
    <row r="257">
      <c r="A257" s="18" t="n"/>
      <c r="B257" s="13" t="n"/>
      <c r="C257" s="13" t="n"/>
      <c r="D257" s="26" t="n"/>
      <c r="E257" s="12" t="n"/>
      <c r="F257" s="12" t="n"/>
      <c r="G257" s="12" t="n"/>
      <c r="H257" s="12" t="n"/>
      <c r="I257" s="13" t="n"/>
      <c r="J257" s="13" t="n"/>
      <c r="K257" s="12" t="n"/>
      <c r="L257" s="13" t="n"/>
      <c r="M257" s="15">
        <f>IF($A257="","",IF($D257="",1,$D257)*$E257+$F257-$H257)</f>
        <v/>
      </c>
      <c r="N257" s="15">
        <f>IF($A257="","",IF($B257="Etsy",IF($D257="",1,$D257)*Settings!$C$19,0))</f>
        <v/>
      </c>
      <c r="O257" s="15">
        <f>IF($A257="","",IF($B257="Etsy",Settings!$C$20*($M257+IF(Settings!$C$54="Y",0,$H257)),0))</f>
        <v/>
      </c>
      <c r="P257" s="15">
        <f>IF($A257="","",IF($B257="Etsy",Settings!$C$21*$M257*(1+Settings!$C$55)+Settings!$C$22,IF($B257="Shopify",Settings!$C$14*$M257+Settings!$C$15,0)))</f>
        <v/>
      </c>
      <c r="Q257" s="15">
        <f>IF($A257="","",IF(AND($B257="Etsy",$I257="Y"),MIN(Settings!$C$12*($M257+IF(Settings!$C$54="Y",0,$H257)),Settings!$C$25),0))</f>
        <v/>
      </c>
      <c r="R257" s="15">
        <f>IF($A257="","",IF(AND($B257="Etsy",$J257="Y",$L257="Y",$M257&gt;0),($O257+Settings!$C$21*$M257*(1+Settings!$C$55)+IF(Settings!$C$59="Y",$Q257,0))*$T257/$M257+IF(AND(Settings!$C$58="Y",$T257&gt;=$M257),Settings!$C$22,0),0))</f>
        <v/>
      </c>
      <c r="S257" s="15">
        <f>IF($A257="","",$N257+$O257+$P257+$Q257-$R257)</f>
        <v/>
      </c>
      <c r="T257" s="15">
        <f>IF($A257="","",IF($J257="Y",IF($K257="",$M257,MIN($K257,$M257)),0))</f>
        <v/>
      </c>
      <c r="U257" s="15">
        <f>IF($A257="","",IF($D257="",1,$D257)*IFERROR(INDEX(Products!$F$5:$F$54,MATCH($C257,Products!$A$5:$A$54,0)),0))</f>
        <v/>
      </c>
      <c r="V257" s="27">
        <f>IF($A257="","",$M257-$T257-$S257-$U257-$G257)</f>
        <v/>
      </c>
      <c r="W257" s="31">
        <f>IF($A257="","",IF($M257-$T257&gt;0,$V257/($M257-$T257),""))</f>
        <v/>
      </c>
      <c r="X257" s="35">
        <f>IF($A257="","",DATE(YEAR($A257),MONTH($A257),1))</f>
        <v/>
      </c>
    </row>
    <row r="258">
      <c r="A258" s="18" t="n"/>
      <c r="B258" s="13" t="n"/>
      <c r="C258" s="13" t="n"/>
      <c r="D258" s="26" t="n"/>
      <c r="E258" s="12" t="n"/>
      <c r="F258" s="12" t="n"/>
      <c r="G258" s="12" t="n"/>
      <c r="H258" s="12" t="n"/>
      <c r="I258" s="13" t="n"/>
      <c r="J258" s="13" t="n"/>
      <c r="K258" s="12" t="n"/>
      <c r="L258" s="13" t="n"/>
      <c r="M258" s="15">
        <f>IF($A258="","",IF($D258="",1,$D258)*$E258+$F258-$H258)</f>
        <v/>
      </c>
      <c r="N258" s="15">
        <f>IF($A258="","",IF($B258="Etsy",IF($D258="",1,$D258)*Settings!$C$19,0))</f>
        <v/>
      </c>
      <c r="O258" s="15">
        <f>IF($A258="","",IF($B258="Etsy",Settings!$C$20*($M258+IF(Settings!$C$54="Y",0,$H258)),0))</f>
        <v/>
      </c>
      <c r="P258" s="15">
        <f>IF($A258="","",IF($B258="Etsy",Settings!$C$21*$M258*(1+Settings!$C$55)+Settings!$C$22,IF($B258="Shopify",Settings!$C$14*$M258+Settings!$C$15,0)))</f>
        <v/>
      </c>
      <c r="Q258" s="15">
        <f>IF($A258="","",IF(AND($B258="Etsy",$I258="Y"),MIN(Settings!$C$12*($M258+IF(Settings!$C$54="Y",0,$H258)),Settings!$C$25),0))</f>
        <v/>
      </c>
      <c r="R258" s="15">
        <f>IF($A258="","",IF(AND($B258="Etsy",$J258="Y",$L258="Y",$M258&gt;0),($O258+Settings!$C$21*$M258*(1+Settings!$C$55)+IF(Settings!$C$59="Y",$Q258,0))*$T258/$M258+IF(AND(Settings!$C$58="Y",$T258&gt;=$M258),Settings!$C$22,0),0))</f>
        <v/>
      </c>
      <c r="S258" s="15">
        <f>IF($A258="","",$N258+$O258+$P258+$Q258-$R258)</f>
        <v/>
      </c>
      <c r="T258" s="15">
        <f>IF($A258="","",IF($J258="Y",IF($K258="",$M258,MIN($K258,$M258)),0))</f>
        <v/>
      </c>
      <c r="U258" s="15">
        <f>IF($A258="","",IF($D258="",1,$D258)*IFERROR(INDEX(Products!$F$5:$F$54,MATCH($C258,Products!$A$5:$A$54,0)),0))</f>
        <v/>
      </c>
      <c r="V258" s="27">
        <f>IF($A258="","",$M258-$T258-$S258-$U258-$G258)</f>
        <v/>
      </c>
      <c r="W258" s="31">
        <f>IF($A258="","",IF($M258-$T258&gt;0,$V258/($M258-$T258),""))</f>
        <v/>
      </c>
      <c r="X258" s="35">
        <f>IF($A258="","",DATE(YEAR($A258),MONTH($A258),1))</f>
        <v/>
      </c>
    </row>
    <row r="259">
      <c r="A259" s="18" t="n"/>
      <c r="B259" s="13" t="n"/>
      <c r="C259" s="13" t="n"/>
      <c r="D259" s="26" t="n"/>
      <c r="E259" s="12" t="n"/>
      <c r="F259" s="12" t="n"/>
      <c r="G259" s="12" t="n"/>
      <c r="H259" s="12" t="n"/>
      <c r="I259" s="13" t="n"/>
      <c r="J259" s="13" t="n"/>
      <c r="K259" s="12" t="n"/>
      <c r="L259" s="13" t="n"/>
      <c r="M259" s="15">
        <f>IF($A259="","",IF($D259="",1,$D259)*$E259+$F259-$H259)</f>
        <v/>
      </c>
      <c r="N259" s="15">
        <f>IF($A259="","",IF($B259="Etsy",IF($D259="",1,$D259)*Settings!$C$19,0))</f>
        <v/>
      </c>
      <c r="O259" s="15">
        <f>IF($A259="","",IF($B259="Etsy",Settings!$C$20*($M259+IF(Settings!$C$54="Y",0,$H259)),0))</f>
        <v/>
      </c>
      <c r="P259" s="15">
        <f>IF($A259="","",IF($B259="Etsy",Settings!$C$21*$M259*(1+Settings!$C$55)+Settings!$C$22,IF($B259="Shopify",Settings!$C$14*$M259+Settings!$C$15,0)))</f>
        <v/>
      </c>
      <c r="Q259" s="15">
        <f>IF($A259="","",IF(AND($B259="Etsy",$I259="Y"),MIN(Settings!$C$12*($M259+IF(Settings!$C$54="Y",0,$H259)),Settings!$C$25),0))</f>
        <v/>
      </c>
      <c r="R259" s="15">
        <f>IF($A259="","",IF(AND($B259="Etsy",$J259="Y",$L259="Y",$M259&gt;0),($O259+Settings!$C$21*$M259*(1+Settings!$C$55)+IF(Settings!$C$59="Y",$Q259,0))*$T259/$M259+IF(AND(Settings!$C$58="Y",$T259&gt;=$M259),Settings!$C$22,0),0))</f>
        <v/>
      </c>
      <c r="S259" s="15">
        <f>IF($A259="","",$N259+$O259+$P259+$Q259-$R259)</f>
        <v/>
      </c>
      <c r="T259" s="15">
        <f>IF($A259="","",IF($J259="Y",IF($K259="",$M259,MIN($K259,$M259)),0))</f>
        <v/>
      </c>
      <c r="U259" s="15">
        <f>IF($A259="","",IF($D259="",1,$D259)*IFERROR(INDEX(Products!$F$5:$F$54,MATCH($C259,Products!$A$5:$A$54,0)),0))</f>
        <v/>
      </c>
      <c r="V259" s="27">
        <f>IF($A259="","",$M259-$T259-$S259-$U259-$G259)</f>
        <v/>
      </c>
      <c r="W259" s="31">
        <f>IF($A259="","",IF($M259-$T259&gt;0,$V259/($M259-$T259),""))</f>
        <v/>
      </c>
      <c r="X259" s="35">
        <f>IF($A259="","",DATE(YEAR($A259),MONTH($A259),1))</f>
        <v/>
      </c>
    </row>
    <row r="260">
      <c r="A260" s="18" t="n"/>
      <c r="B260" s="13" t="n"/>
      <c r="C260" s="13" t="n"/>
      <c r="D260" s="26" t="n"/>
      <c r="E260" s="12" t="n"/>
      <c r="F260" s="12" t="n"/>
      <c r="G260" s="12" t="n"/>
      <c r="H260" s="12" t="n"/>
      <c r="I260" s="13" t="n"/>
      <c r="J260" s="13" t="n"/>
      <c r="K260" s="12" t="n"/>
      <c r="L260" s="13" t="n"/>
      <c r="M260" s="15">
        <f>IF($A260="","",IF($D260="",1,$D260)*$E260+$F260-$H260)</f>
        <v/>
      </c>
      <c r="N260" s="15">
        <f>IF($A260="","",IF($B260="Etsy",IF($D260="",1,$D260)*Settings!$C$19,0))</f>
        <v/>
      </c>
      <c r="O260" s="15">
        <f>IF($A260="","",IF($B260="Etsy",Settings!$C$20*($M260+IF(Settings!$C$54="Y",0,$H260)),0))</f>
        <v/>
      </c>
      <c r="P260" s="15">
        <f>IF($A260="","",IF($B260="Etsy",Settings!$C$21*$M260*(1+Settings!$C$55)+Settings!$C$22,IF($B260="Shopify",Settings!$C$14*$M260+Settings!$C$15,0)))</f>
        <v/>
      </c>
      <c r="Q260" s="15">
        <f>IF($A260="","",IF(AND($B260="Etsy",$I260="Y"),MIN(Settings!$C$12*($M260+IF(Settings!$C$54="Y",0,$H260)),Settings!$C$25),0))</f>
        <v/>
      </c>
      <c r="R260" s="15">
        <f>IF($A260="","",IF(AND($B260="Etsy",$J260="Y",$L260="Y",$M260&gt;0),($O260+Settings!$C$21*$M260*(1+Settings!$C$55)+IF(Settings!$C$59="Y",$Q260,0))*$T260/$M260+IF(AND(Settings!$C$58="Y",$T260&gt;=$M260),Settings!$C$22,0),0))</f>
        <v/>
      </c>
      <c r="S260" s="15">
        <f>IF($A260="","",$N260+$O260+$P260+$Q260-$R260)</f>
        <v/>
      </c>
      <c r="T260" s="15">
        <f>IF($A260="","",IF($J260="Y",IF($K260="",$M260,MIN($K260,$M260)),0))</f>
        <v/>
      </c>
      <c r="U260" s="15">
        <f>IF($A260="","",IF($D260="",1,$D260)*IFERROR(INDEX(Products!$F$5:$F$54,MATCH($C260,Products!$A$5:$A$54,0)),0))</f>
        <v/>
      </c>
      <c r="V260" s="27">
        <f>IF($A260="","",$M260-$T260-$S260-$U260-$G260)</f>
        <v/>
      </c>
      <c r="W260" s="31">
        <f>IF($A260="","",IF($M260-$T260&gt;0,$V260/($M260-$T260),""))</f>
        <v/>
      </c>
      <c r="X260" s="35">
        <f>IF($A260="","",DATE(YEAR($A260),MONTH($A260),1))</f>
        <v/>
      </c>
    </row>
    <row r="261">
      <c r="A261" s="18" t="n"/>
      <c r="B261" s="13" t="n"/>
      <c r="C261" s="13" t="n"/>
      <c r="D261" s="26" t="n"/>
      <c r="E261" s="12" t="n"/>
      <c r="F261" s="12" t="n"/>
      <c r="G261" s="12" t="n"/>
      <c r="H261" s="12" t="n"/>
      <c r="I261" s="13" t="n"/>
      <c r="J261" s="13" t="n"/>
      <c r="K261" s="12" t="n"/>
      <c r="L261" s="13" t="n"/>
      <c r="M261" s="15">
        <f>IF($A261="","",IF($D261="",1,$D261)*$E261+$F261-$H261)</f>
        <v/>
      </c>
      <c r="N261" s="15">
        <f>IF($A261="","",IF($B261="Etsy",IF($D261="",1,$D261)*Settings!$C$19,0))</f>
        <v/>
      </c>
      <c r="O261" s="15">
        <f>IF($A261="","",IF($B261="Etsy",Settings!$C$20*($M261+IF(Settings!$C$54="Y",0,$H261)),0))</f>
        <v/>
      </c>
      <c r="P261" s="15">
        <f>IF($A261="","",IF($B261="Etsy",Settings!$C$21*$M261*(1+Settings!$C$55)+Settings!$C$22,IF($B261="Shopify",Settings!$C$14*$M261+Settings!$C$15,0)))</f>
        <v/>
      </c>
      <c r="Q261" s="15">
        <f>IF($A261="","",IF(AND($B261="Etsy",$I261="Y"),MIN(Settings!$C$12*($M261+IF(Settings!$C$54="Y",0,$H261)),Settings!$C$25),0))</f>
        <v/>
      </c>
      <c r="R261" s="15">
        <f>IF($A261="","",IF(AND($B261="Etsy",$J261="Y",$L261="Y",$M261&gt;0),($O261+Settings!$C$21*$M261*(1+Settings!$C$55)+IF(Settings!$C$59="Y",$Q261,0))*$T261/$M261+IF(AND(Settings!$C$58="Y",$T261&gt;=$M261),Settings!$C$22,0),0))</f>
        <v/>
      </c>
      <c r="S261" s="15">
        <f>IF($A261="","",$N261+$O261+$P261+$Q261-$R261)</f>
        <v/>
      </c>
      <c r="T261" s="15">
        <f>IF($A261="","",IF($J261="Y",IF($K261="",$M261,MIN($K261,$M261)),0))</f>
        <v/>
      </c>
      <c r="U261" s="15">
        <f>IF($A261="","",IF($D261="",1,$D261)*IFERROR(INDEX(Products!$F$5:$F$54,MATCH($C261,Products!$A$5:$A$54,0)),0))</f>
        <v/>
      </c>
      <c r="V261" s="27">
        <f>IF($A261="","",$M261-$T261-$S261-$U261-$G261)</f>
        <v/>
      </c>
      <c r="W261" s="31">
        <f>IF($A261="","",IF($M261-$T261&gt;0,$V261/($M261-$T261),""))</f>
        <v/>
      </c>
      <c r="X261" s="35">
        <f>IF($A261="","",DATE(YEAR($A261),MONTH($A261),1))</f>
        <v/>
      </c>
    </row>
    <row r="262">
      <c r="A262" s="18" t="n"/>
      <c r="B262" s="13" t="n"/>
      <c r="C262" s="13" t="n"/>
      <c r="D262" s="26" t="n"/>
      <c r="E262" s="12" t="n"/>
      <c r="F262" s="12" t="n"/>
      <c r="G262" s="12" t="n"/>
      <c r="H262" s="12" t="n"/>
      <c r="I262" s="13" t="n"/>
      <c r="J262" s="13" t="n"/>
      <c r="K262" s="12" t="n"/>
      <c r="L262" s="13" t="n"/>
      <c r="M262" s="15">
        <f>IF($A262="","",IF($D262="",1,$D262)*$E262+$F262-$H262)</f>
        <v/>
      </c>
      <c r="N262" s="15">
        <f>IF($A262="","",IF($B262="Etsy",IF($D262="",1,$D262)*Settings!$C$19,0))</f>
        <v/>
      </c>
      <c r="O262" s="15">
        <f>IF($A262="","",IF($B262="Etsy",Settings!$C$20*($M262+IF(Settings!$C$54="Y",0,$H262)),0))</f>
        <v/>
      </c>
      <c r="P262" s="15">
        <f>IF($A262="","",IF($B262="Etsy",Settings!$C$21*$M262*(1+Settings!$C$55)+Settings!$C$22,IF($B262="Shopify",Settings!$C$14*$M262+Settings!$C$15,0)))</f>
        <v/>
      </c>
      <c r="Q262" s="15">
        <f>IF($A262="","",IF(AND($B262="Etsy",$I262="Y"),MIN(Settings!$C$12*($M262+IF(Settings!$C$54="Y",0,$H262)),Settings!$C$25),0))</f>
        <v/>
      </c>
      <c r="R262" s="15">
        <f>IF($A262="","",IF(AND($B262="Etsy",$J262="Y",$L262="Y",$M262&gt;0),($O262+Settings!$C$21*$M262*(1+Settings!$C$55)+IF(Settings!$C$59="Y",$Q262,0))*$T262/$M262+IF(AND(Settings!$C$58="Y",$T262&gt;=$M262),Settings!$C$22,0),0))</f>
        <v/>
      </c>
      <c r="S262" s="15">
        <f>IF($A262="","",$N262+$O262+$P262+$Q262-$R262)</f>
        <v/>
      </c>
      <c r="T262" s="15">
        <f>IF($A262="","",IF($J262="Y",IF($K262="",$M262,MIN($K262,$M262)),0))</f>
        <v/>
      </c>
      <c r="U262" s="15">
        <f>IF($A262="","",IF($D262="",1,$D262)*IFERROR(INDEX(Products!$F$5:$F$54,MATCH($C262,Products!$A$5:$A$54,0)),0))</f>
        <v/>
      </c>
      <c r="V262" s="27">
        <f>IF($A262="","",$M262-$T262-$S262-$U262-$G262)</f>
        <v/>
      </c>
      <c r="W262" s="31">
        <f>IF($A262="","",IF($M262-$T262&gt;0,$V262/($M262-$T262),""))</f>
        <v/>
      </c>
      <c r="X262" s="35">
        <f>IF($A262="","",DATE(YEAR($A262),MONTH($A262),1))</f>
        <v/>
      </c>
    </row>
    <row r="263">
      <c r="A263" s="18" t="n"/>
      <c r="B263" s="13" t="n"/>
      <c r="C263" s="13" t="n"/>
      <c r="D263" s="26" t="n"/>
      <c r="E263" s="12" t="n"/>
      <c r="F263" s="12" t="n"/>
      <c r="G263" s="12" t="n"/>
      <c r="H263" s="12" t="n"/>
      <c r="I263" s="13" t="n"/>
      <c r="J263" s="13" t="n"/>
      <c r="K263" s="12" t="n"/>
      <c r="L263" s="13" t="n"/>
      <c r="M263" s="15">
        <f>IF($A263="","",IF($D263="",1,$D263)*$E263+$F263-$H263)</f>
        <v/>
      </c>
      <c r="N263" s="15">
        <f>IF($A263="","",IF($B263="Etsy",IF($D263="",1,$D263)*Settings!$C$19,0))</f>
        <v/>
      </c>
      <c r="O263" s="15">
        <f>IF($A263="","",IF($B263="Etsy",Settings!$C$20*($M263+IF(Settings!$C$54="Y",0,$H263)),0))</f>
        <v/>
      </c>
      <c r="P263" s="15">
        <f>IF($A263="","",IF($B263="Etsy",Settings!$C$21*$M263*(1+Settings!$C$55)+Settings!$C$22,IF($B263="Shopify",Settings!$C$14*$M263+Settings!$C$15,0)))</f>
        <v/>
      </c>
      <c r="Q263" s="15">
        <f>IF($A263="","",IF(AND($B263="Etsy",$I263="Y"),MIN(Settings!$C$12*($M263+IF(Settings!$C$54="Y",0,$H263)),Settings!$C$25),0))</f>
        <v/>
      </c>
      <c r="R263" s="15">
        <f>IF($A263="","",IF(AND($B263="Etsy",$J263="Y",$L263="Y",$M263&gt;0),($O263+Settings!$C$21*$M263*(1+Settings!$C$55)+IF(Settings!$C$59="Y",$Q263,0))*$T263/$M263+IF(AND(Settings!$C$58="Y",$T263&gt;=$M263),Settings!$C$22,0),0))</f>
        <v/>
      </c>
      <c r="S263" s="15">
        <f>IF($A263="","",$N263+$O263+$P263+$Q263-$R263)</f>
        <v/>
      </c>
      <c r="T263" s="15">
        <f>IF($A263="","",IF($J263="Y",IF($K263="",$M263,MIN($K263,$M263)),0))</f>
        <v/>
      </c>
      <c r="U263" s="15">
        <f>IF($A263="","",IF($D263="",1,$D263)*IFERROR(INDEX(Products!$F$5:$F$54,MATCH($C263,Products!$A$5:$A$54,0)),0))</f>
        <v/>
      </c>
      <c r="V263" s="27">
        <f>IF($A263="","",$M263-$T263-$S263-$U263-$G263)</f>
        <v/>
      </c>
      <c r="W263" s="31">
        <f>IF($A263="","",IF($M263-$T263&gt;0,$V263/($M263-$T263),""))</f>
        <v/>
      </c>
      <c r="X263" s="35">
        <f>IF($A263="","",DATE(YEAR($A263),MONTH($A263),1))</f>
        <v/>
      </c>
    </row>
    <row r="264">
      <c r="A264" s="18" t="n"/>
      <c r="B264" s="13" t="n"/>
      <c r="C264" s="13" t="n"/>
      <c r="D264" s="26" t="n"/>
      <c r="E264" s="12" t="n"/>
      <c r="F264" s="12" t="n"/>
      <c r="G264" s="12" t="n"/>
      <c r="H264" s="12" t="n"/>
      <c r="I264" s="13" t="n"/>
      <c r="J264" s="13" t="n"/>
      <c r="K264" s="12" t="n"/>
      <c r="L264" s="13" t="n"/>
      <c r="M264" s="15">
        <f>IF($A264="","",IF($D264="",1,$D264)*$E264+$F264-$H264)</f>
        <v/>
      </c>
      <c r="N264" s="15">
        <f>IF($A264="","",IF($B264="Etsy",IF($D264="",1,$D264)*Settings!$C$19,0))</f>
        <v/>
      </c>
      <c r="O264" s="15">
        <f>IF($A264="","",IF($B264="Etsy",Settings!$C$20*($M264+IF(Settings!$C$54="Y",0,$H264)),0))</f>
        <v/>
      </c>
      <c r="P264" s="15">
        <f>IF($A264="","",IF($B264="Etsy",Settings!$C$21*$M264*(1+Settings!$C$55)+Settings!$C$22,IF($B264="Shopify",Settings!$C$14*$M264+Settings!$C$15,0)))</f>
        <v/>
      </c>
      <c r="Q264" s="15">
        <f>IF($A264="","",IF(AND($B264="Etsy",$I264="Y"),MIN(Settings!$C$12*($M264+IF(Settings!$C$54="Y",0,$H264)),Settings!$C$25),0))</f>
        <v/>
      </c>
      <c r="R264" s="15">
        <f>IF($A264="","",IF(AND($B264="Etsy",$J264="Y",$L264="Y",$M264&gt;0),($O264+Settings!$C$21*$M264*(1+Settings!$C$55)+IF(Settings!$C$59="Y",$Q264,0))*$T264/$M264+IF(AND(Settings!$C$58="Y",$T264&gt;=$M264),Settings!$C$22,0),0))</f>
        <v/>
      </c>
      <c r="S264" s="15">
        <f>IF($A264="","",$N264+$O264+$P264+$Q264-$R264)</f>
        <v/>
      </c>
      <c r="T264" s="15">
        <f>IF($A264="","",IF($J264="Y",IF($K264="",$M264,MIN($K264,$M264)),0))</f>
        <v/>
      </c>
      <c r="U264" s="15">
        <f>IF($A264="","",IF($D264="",1,$D264)*IFERROR(INDEX(Products!$F$5:$F$54,MATCH($C264,Products!$A$5:$A$54,0)),0))</f>
        <v/>
      </c>
      <c r="V264" s="27">
        <f>IF($A264="","",$M264-$T264-$S264-$U264-$G264)</f>
        <v/>
      </c>
      <c r="W264" s="31">
        <f>IF($A264="","",IF($M264-$T264&gt;0,$V264/($M264-$T264),""))</f>
        <v/>
      </c>
      <c r="X264" s="35">
        <f>IF($A264="","",DATE(YEAR($A264),MONTH($A264),1))</f>
        <v/>
      </c>
    </row>
    <row r="265">
      <c r="A265" s="18" t="n"/>
      <c r="B265" s="13" t="n"/>
      <c r="C265" s="13" t="n"/>
      <c r="D265" s="26" t="n"/>
      <c r="E265" s="12" t="n"/>
      <c r="F265" s="12" t="n"/>
      <c r="G265" s="12" t="n"/>
      <c r="H265" s="12" t="n"/>
      <c r="I265" s="13" t="n"/>
      <c r="J265" s="13" t="n"/>
      <c r="K265" s="12" t="n"/>
      <c r="L265" s="13" t="n"/>
      <c r="M265" s="15">
        <f>IF($A265="","",IF($D265="",1,$D265)*$E265+$F265-$H265)</f>
        <v/>
      </c>
      <c r="N265" s="15">
        <f>IF($A265="","",IF($B265="Etsy",IF($D265="",1,$D265)*Settings!$C$19,0))</f>
        <v/>
      </c>
      <c r="O265" s="15">
        <f>IF($A265="","",IF($B265="Etsy",Settings!$C$20*($M265+IF(Settings!$C$54="Y",0,$H265)),0))</f>
        <v/>
      </c>
      <c r="P265" s="15">
        <f>IF($A265="","",IF($B265="Etsy",Settings!$C$21*$M265*(1+Settings!$C$55)+Settings!$C$22,IF($B265="Shopify",Settings!$C$14*$M265+Settings!$C$15,0)))</f>
        <v/>
      </c>
      <c r="Q265" s="15">
        <f>IF($A265="","",IF(AND($B265="Etsy",$I265="Y"),MIN(Settings!$C$12*($M265+IF(Settings!$C$54="Y",0,$H265)),Settings!$C$25),0))</f>
        <v/>
      </c>
      <c r="R265" s="15">
        <f>IF($A265="","",IF(AND($B265="Etsy",$J265="Y",$L265="Y",$M265&gt;0),($O265+Settings!$C$21*$M265*(1+Settings!$C$55)+IF(Settings!$C$59="Y",$Q265,0))*$T265/$M265+IF(AND(Settings!$C$58="Y",$T265&gt;=$M265),Settings!$C$22,0),0))</f>
        <v/>
      </c>
      <c r="S265" s="15">
        <f>IF($A265="","",$N265+$O265+$P265+$Q265-$R265)</f>
        <v/>
      </c>
      <c r="T265" s="15">
        <f>IF($A265="","",IF($J265="Y",IF($K265="",$M265,MIN($K265,$M265)),0))</f>
        <v/>
      </c>
      <c r="U265" s="15">
        <f>IF($A265="","",IF($D265="",1,$D265)*IFERROR(INDEX(Products!$F$5:$F$54,MATCH($C265,Products!$A$5:$A$54,0)),0))</f>
        <v/>
      </c>
      <c r="V265" s="27">
        <f>IF($A265="","",$M265-$T265-$S265-$U265-$G265)</f>
        <v/>
      </c>
      <c r="W265" s="31">
        <f>IF($A265="","",IF($M265-$T265&gt;0,$V265/($M265-$T265),""))</f>
        <v/>
      </c>
      <c r="X265" s="35">
        <f>IF($A265="","",DATE(YEAR($A265),MONTH($A265),1))</f>
        <v/>
      </c>
    </row>
    <row r="266">
      <c r="A266" s="18" t="n"/>
      <c r="B266" s="13" t="n"/>
      <c r="C266" s="13" t="n"/>
      <c r="D266" s="26" t="n"/>
      <c r="E266" s="12" t="n"/>
      <c r="F266" s="12" t="n"/>
      <c r="G266" s="12" t="n"/>
      <c r="H266" s="12" t="n"/>
      <c r="I266" s="13" t="n"/>
      <c r="J266" s="13" t="n"/>
      <c r="K266" s="12" t="n"/>
      <c r="L266" s="13" t="n"/>
      <c r="M266" s="15">
        <f>IF($A266="","",IF($D266="",1,$D266)*$E266+$F266-$H266)</f>
        <v/>
      </c>
      <c r="N266" s="15">
        <f>IF($A266="","",IF($B266="Etsy",IF($D266="",1,$D266)*Settings!$C$19,0))</f>
        <v/>
      </c>
      <c r="O266" s="15">
        <f>IF($A266="","",IF($B266="Etsy",Settings!$C$20*($M266+IF(Settings!$C$54="Y",0,$H266)),0))</f>
        <v/>
      </c>
      <c r="P266" s="15">
        <f>IF($A266="","",IF($B266="Etsy",Settings!$C$21*$M266*(1+Settings!$C$55)+Settings!$C$22,IF($B266="Shopify",Settings!$C$14*$M266+Settings!$C$15,0)))</f>
        <v/>
      </c>
      <c r="Q266" s="15">
        <f>IF($A266="","",IF(AND($B266="Etsy",$I266="Y"),MIN(Settings!$C$12*($M266+IF(Settings!$C$54="Y",0,$H266)),Settings!$C$25),0))</f>
        <v/>
      </c>
      <c r="R266" s="15">
        <f>IF($A266="","",IF(AND($B266="Etsy",$J266="Y",$L266="Y",$M266&gt;0),($O266+Settings!$C$21*$M266*(1+Settings!$C$55)+IF(Settings!$C$59="Y",$Q266,0))*$T266/$M266+IF(AND(Settings!$C$58="Y",$T266&gt;=$M266),Settings!$C$22,0),0))</f>
        <v/>
      </c>
      <c r="S266" s="15">
        <f>IF($A266="","",$N266+$O266+$P266+$Q266-$R266)</f>
        <v/>
      </c>
      <c r="T266" s="15">
        <f>IF($A266="","",IF($J266="Y",IF($K266="",$M266,MIN($K266,$M266)),0))</f>
        <v/>
      </c>
      <c r="U266" s="15">
        <f>IF($A266="","",IF($D266="",1,$D266)*IFERROR(INDEX(Products!$F$5:$F$54,MATCH($C266,Products!$A$5:$A$54,0)),0))</f>
        <v/>
      </c>
      <c r="V266" s="27">
        <f>IF($A266="","",$M266-$T266-$S266-$U266-$G266)</f>
        <v/>
      </c>
      <c r="W266" s="31">
        <f>IF($A266="","",IF($M266-$T266&gt;0,$V266/($M266-$T266),""))</f>
        <v/>
      </c>
      <c r="X266" s="35">
        <f>IF($A266="","",DATE(YEAR($A266),MONTH($A266),1))</f>
        <v/>
      </c>
    </row>
    <row r="267">
      <c r="A267" s="18" t="n"/>
      <c r="B267" s="13" t="n"/>
      <c r="C267" s="13" t="n"/>
      <c r="D267" s="26" t="n"/>
      <c r="E267" s="12" t="n"/>
      <c r="F267" s="12" t="n"/>
      <c r="G267" s="12" t="n"/>
      <c r="H267" s="12" t="n"/>
      <c r="I267" s="13" t="n"/>
      <c r="J267" s="13" t="n"/>
      <c r="K267" s="12" t="n"/>
      <c r="L267" s="13" t="n"/>
      <c r="M267" s="15">
        <f>IF($A267="","",IF($D267="",1,$D267)*$E267+$F267-$H267)</f>
        <v/>
      </c>
      <c r="N267" s="15">
        <f>IF($A267="","",IF($B267="Etsy",IF($D267="",1,$D267)*Settings!$C$19,0))</f>
        <v/>
      </c>
      <c r="O267" s="15">
        <f>IF($A267="","",IF($B267="Etsy",Settings!$C$20*($M267+IF(Settings!$C$54="Y",0,$H267)),0))</f>
        <v/>
      </c>
      <c r="P267" s="15">
        <f>IF($A267="","",IF($B267="Etsy",Settings!$C$21*$M267*(1+Settings!$C$55)+Settings!$C$22,IF($B267="Shopify",Settings!$C$14*$M267+Settings!$C$15,0)))</f>
        <v/>
      </c>
      <c r="Q267" s="15">
        <f>IF($A267="","",IF(AND($B267="Etsy",$I267="Y"),MIN(Settings!$C$12*($M267+IF(Settings!$C$54="Y",0,$H267)),Settings!$C$25),0))</f>
        <v/>
      </c>
      <c r="R267" s="15">
        <f>IF($A267="","",IF(AND($B267="Etsy",$J267="Y",$L267="Y",$M267&gt;0),($O267+Settings!$C$21*$M267*(1+Settings!$C$55)+IF(Settings!$C$59="Y",$Q267,0))*$T267/$M267+IF(AND(Settings!$C$58="Y",$T267&gt;=$M267),Settings!$C$22,0),0))</f>
        <v/>
      </c>
      <c r="S267" s="15">
        <f>IF($A267="","",$N267+$O267+$P267+$Q267-$R267)</f>
        <v/>
      </c>
      <c r="T267" s="15">
        <f>IF($A267="","",IF($J267="Y",IF($K267="",$M267,MIN($K267,$M267)),0))</f>
        <v/>
      </c>
      <c r="U267" s="15">
        <f>IF($A267="","",IF($D267="",1,$D267)*IFERROR(INDEX(Products!$F$5:$F$54,MATCH($C267,Products!$A$5:$A$54,0)),0))</f>
        <v/>
      </c>
      <c r="V267" s="27">
        <f>IF($A267="","",$M267-$T267-$S267-$U267-$G267)</f>
        <v/>
      </c>
      <c r="W267" s="31">
        <f>IF($A267="","",IF($M267-$T267&gt;0,$V267/($M267-$T267),""))</f>
        <v/>
      </c>
      <c r="X267" s="35">
        <f>IF($A267="","",DATE(YEAR($A267),MONTH($A267),1))</f>
        <v/>
      </c>
    </row>
    <row r="268">
      <c r="A268" s="18" t="n"/>
      <c r="B268" s="13" t="n"/>
      <c r="C268" s="13" t="n"/>
      <c r="D268" s="26" t="n"/>
      <c r="E268" s="12" t="n"/>
      <c r="F268" s="12" t="n"/>
      <c r="G268" s="12" t="n"/>
      <c r="H268" s="12" t="n"/>
      <c r="I268" s="13" t="n"/>
      <c r="J268" s="13" t="n"/>
      <c r="K268" s="12" t="n"/>
      <c r="L268" s="13" t="n"/>
      <c r="M268" s="15">
        <f>IF($A268="","",IF($D268="",1,$D268)*$E268+$F268-$H268)</f>
        <v/>
      </c>
      <c r="N268" s="15">
        <f>IF($A268="","",IF($B268="Etsy",IF($D268="",1,$D268)*Settings!$C$19,0))</f>
        <v/>
      </c>
      <c r="O268" s="15">
        <f>IF($A268="","",IF($B268="Etsy",Settings!$C$20*($M268+IF(Settings!$C$54="Y",0,$H268)),0))</f>
        <v/>
      </c>
      <c r="P268" s="15">
        <f>IF($A268="","",IF($B268="Etsy",Settings!$C$21*$M268*(1+Settings!$C$55)+Settings!$C$22,IF($B268="Shopify",Settings!$C$14*$M268+Settings!$C$15,0)))</f>
        <v/>
      </c>
      <c r="Q268" s="15">
        <f>IF($A268="","",IF(AND($B268="Etsy",$I268="Y"),MIN(Settings!$C$12*($M268+IF(Settings!$C$54="Y",0,$H268)),Settings!$C$25),0))</f>
        <v/>
      </c>
      <c r="R268" s="15">
        <f>IF($A268="","",IF(AND($B268="Etsy",$J268="Y",$L268="Y",$M268&gt;0),($O268+Settings!$C$21*$M268*(1+Settings!$C$55)+IF(Settings!$C$59="Y",$Q268,0))*$T268/$M268+IF(AND(Settings!$C$58="Y",$T268&gt;=$M268),Settings!$C$22,0),0))</f>
        <v/>
      </c>
      <c r="S268" s="15">
        <f>IF($A268="","",$N268+$O268+$P268+$Q268-$R268)</f>
        <v/>
      </c>
      <c r="T268" s="15">
        <f>IF($A268="","",IF($J268="Y",IF($K268="",$M268,MIN($K268,$M268)),0))</f>
        <v/>
      </c>
      <c r="U268" s="15">
        <f>IF($A268="","",IF($D268="",1,$D268)*IFERROR(INDEX(Products!$F$5:$F$54,MATCH($C268,Products!$A$5:$A$54,0)),0))</f>
        <v/>
      </c>
      <c r="V268" s="27">
        <f>IF($A268="","",$M268-$T268-$S268-$U268-$G268)</f>
        <v/>
      </c>
      <c r="W268" s="31">
        <f>IF($A268="","",IF($M268-$T268&gt;0,$V268/($M268-$T268),""))</f>
        <v/>
      </c>
      <c r="X268" s="35">
        <f>IF($A268="","",DATE(YEAR($A268),MONTH($A268),1))</f>
        <v/>
      </c>
    </row>
    <row r="269">
      <c r="A269" s="18" t="n"/>
      <c r="B269" s="13" t="n"/>
      <c r="C269" s="13" t="n"/>
      <c r="D269" s="26" t="n"/>
      <c r="E269" s="12" t="n"/>
      <c r="F269" s="12" t="n"/>
      <c r="G269" s="12" t="n"/>
      <c r="H269" s="12" t="n"/>
      <c r="I269" s="13" t="n"/>
      <c r="J269" s="13" t="n"/>
      <c r="K269" s="12" t="n"/>
      <c r="L269" s="13" t="n"/>
      <c r="M269" s="15">
        <f>IF($A269="","",IF($D269="",1,$D269)*$E269+$F269-$H269)</f>
        <v/>
      </c>
      <c r="N269" s="15">
        <f>IF($A269="","",IF($B269="Etsy",IF($D269="",1,$D269)*Settings!$C$19,0))</f>
        <v/>
      </c>
      <c r="O269" s="15">
        <f>IF($A269="","",IF($B269="Etsy",Settings!$C$20*($M269+IF(Settings!$C$54="Y",0,$H269)),0))</f>
        <v/>
      </c>
      <c r="P269" s="15">
        <f>IF($A269="","",IF($B269="Etsy",Settings!$C$21*$M269*(1+Settings!$C$55)+Settings!$C$22,IF($B269="Shopify",Settings!$C$14*$M269+Settings!$C$15,0)))</f>
        <v/>
      </c>
      <c r="Q269" s="15">
        <f>IF($A269="","",IF(AND($B269="Etsy",$I269="Y"),MIN(Settings!$C$12*($M269+IF(Settings!$C$54="Y",0,$H269)),Settings!$C$25),0))</f>
        <v/>
      </c>
      <c r="R269" s="15">
        <f>IF($A269="","",IF(AND($B269="Etsy",$J269="Y",$L269="Y",$M269&gt;0),($O269+Settings!$C$21*$M269*(1+Settings!$C$55)+IF(Settings!$C$59="Y",$Q269,0))*$T269/$M269+IF(AND(Settings!$C$58="Y",$T269&gt;=$M269),Settings!$C$22,0),0))</f>
        <v/>
      </c>
      <c r="S269" s="15">
        <f>IF($A269="","",$N269+$O269+$P269+$Q269-$R269)</f>
        <v/>
      </c>
      <c r="T269" s="15">
        <f>IF($A269="","",IF($J269="Y",IF($K269="",$M269,MIN($K269,$M269)),0))</f>
        <v/>
      </c>
      <c r="U269" s="15">
        <f>IF($A269="","",IF($D269="",1,$D269)*IFERROR(INDEX(Products!$F$5:$F$54,MATCH($C269,Products!$A$5:$A$54,0)),0))</f>
        <v/>
      </c>
      <c r="V269" s="27">
        <f>IF($A269="","",$M269-$T269-$S269-$U269-$G269)</f>
        <v/>
      </c>
      <c r="W269" s="31">
        <f>IF($A269="","",IF($M269-$T269&gt;0,$V269/($M269-$T269),""))</f>
        <v/>
      </c>
      <c r="X269" s="35">
        <f>IF($A269="","",DATE(YEAR($A269),MONTH($A269),1))</f>
        <v/>
      </c>
    </row>
    <row r="270">
      <c r="A270" s="18" t="n"/>
      <c r="B270" s="13" t="n"/>
      <c r="C270" s="13" t="n"/>
      <c r="D270" s="26" t="n"/>
      <c r="E270" s="12" t="n"/>
      <c r="F270" s="12" t="n"/>
      <c r="G270" s="12" t="n"/>
      <c r="H270" s="12" t="n"/>
      <c r="I270" s="13" t="n"/>
      <c r="J270" s="13" t="n"/>
      <c r="K270" s="12" t="n"/>
      <c r="L270" s="13" t="n"/>
      <c r="M270" s="15">
        <f>IF($A270="","",IF($D270="",1,$D270)*$E270+$F270-$H270)</f>
        <v/>
      </c>
      <c r="N270" s="15">
        <f>IF($A270="","",IF($B270="Etsy",IF($D270="",1,$D270)*Settings!$C$19,0))</f>
        <v/>
      </c>
      <c r="O270" s="15">
        <f>IF($A270="","",IF($B270="Etsy",Settings!$C$20*($M270+IF(Settings!$C$54="Y",0,$H270)),0))</f>
        <v/>
      </c>
      <c r="P270" s="15">
        <f>IF($A270="","",IF($B270="Etsy",Settings!$C$21*$M270*(1+Settings!$C$55)+Settings!$C$22,IF($B270="Shopify",Settings!$C$14*$M270+Settings!$C$15,0)))</f>
        <v/>
      </c>
      <c r="Q270" s="15">
        <f>IF($A270="","",IF(AND($B270="Etsy",$I270="Y"),MIN(Settings!$C$12*($M270+IF(Settings!$C$54="Y",0,$H270)),Settings!$C$25),0))</f>
        <v/>
      </c>
      <c r="R270" s="15">
        <f>IF($A270="","",IF(AND($B270="Etsy",$J270="Y",$L270="Y",$M270&gt;0),($O270+Settings!$C$21*$M270*(1+Settings!$C$55)+IF(Settings!$C$59="Y",$Q270,0))*$T270/$M270+IF(AND(Settings!$C$58="Y",$T270&gt;=$M270),Settings!$C$22,0),0))</f>
        <v/>
      </c>
      <c r="S270" s="15">
        <f>IF($A270="","",$N270+$O270+$P270+$Q270-$R270)</f>
        <v/>
      </c>
      <c r="T270" s="15">
        <f>IF($A270="","",IF($J270="Y",IF($K270="",$M270,MIN($K270,$M270)),0))</f>
        <v/>
      </c>
      <c r="U270" s="15">
        <f>IF($A270="","",IF($D270="",1,$D270)*IFERROR(INDEX(Products!$F$5:$F$54,MATCH($C270,Products!$A$5:$A$54,0)),0))</f>
        <v/>
      </c>
      <c r="V270" s="27">
        <f>IF($A270="","",$M270-$T270-$S270-$U270-$G270)</f>
        <v/>
      </c>
      <c r="W270" s="31">
        <f>IF($A270="","",IF($M270-$T270&gt;0,$V270/($M270-$T270),""))</f>
        <v/>
      </c>
      <c r="X270" s="35">
        <f>IF($A270="","",DATE(YEAR($A270),MONTH($A270),1))</f>
        <v/>
      </c>
    </row>
    <row r="271">
      <c r="A271" s="18" t="n"/>
      <c r="B271" s="13" t="n"/>
      <c r="C271" s="13" t="n"/>
      <c r="D271" s="26" t="n"/>
      <c r="E271" s="12" t="n"/>
      <c r="F271" s="12" t="n"/>
      <c r="G271" s="12" t="n"/>
      <c r="H271" s="12" t="n"/>
      <c r="I271" s="13" t="n"/>
      <c r="J271" s="13" t="n"/>
      <c r="K271" s="12" t="n"/>
      <c r="L271" s="13" t="n"/>
      <c r="M271" s="15">
        <f>IF($A271="","",IF($D271="",1,$D271)*$E271+$F271-$H271)</f>
        <v/>
      </c>
      <c r="N271" s="15">
        <f>IF($A271="","",IF($B271="Etsy",IF($D271="",1,$D271)*Settings!$C$19,0))</f>
        <v/>
      </c>
      <c r="O271" s="15">
        <f>IF($A271="","",IF($B271="Etsy",Settings!$C$20*($M271+IF(Settings!$C$54="Y",0,$H271)),0))</f>
        <v/>
      </c>
      <c r="P271" s="15">
        <f>IF($A271="","",IF($B271="Etsy",Settings!$C$21*$M271*(1+Settings!$C$55)+Settings!$C$22,IF($B271="Shopify",Settings!$C$14*$M271+Settings!$C$15,0)))</f>
        <v/>
      </c>
      <c r="Q271" s="15">
        <f>IF($A271="","",IF(AND($B271="Etsy",$I271="Y"),MIN(Settings!$C$12*($M271+IF(Settings!$C$54="Y",0,$H271)),Settings!$C$25),0))</f>
        <v/>
      </c>
      <c r="R271" s="15">
        <f>IF($A271="","",IF(AND($B271="Etsy",$J271="Y",$L271="Y",$M271&gt;0),($O271+Settings!$C$21*$M271*(1+Settings!$C$55)+IF(Settings!$C$59="Y",$Q271,0))*$T271/$M271+IF(AND(Settings!$C$58="Y",$T271&gt;=$M271),Settings!$C$22,0),0))</f>
        <v/>
      </c>
      <c r="S271" s="15">
        <f>IF($A271="","",$N271+$O271+$P271+$Q271-$R271)</f>
        <v/>
      </c>
      <c r="T271" s="15">
        <f>IF($A271="","",IF($J271="Y",IF($K271="",$M271,MIN($K271,$M271)),0))</f>
        <v/>
      </c>
      <c r="U271" s="15">
        <f>IF($A271="","",IF($D271="",1,$D271)*IFERROR(INDEX(Products!$F$5:$F$54,MATCH($C271,Products!$A$5:$A$54,0)),0))</f>
        <v/>
      </c>
      <c r="V271" s="27">
        <f>IF($A271="","",$M271-$T271-$S271-$U271-$G271)</f>
        <v/>
      </c>
      <c r="W271" s="31">
        <f>IF($A271="","",IF($M271-$T271&gt;0,$V271/($M271-$T271),""))</f>
        <v/>
      </c>
      <c r="X271" s="35">
        <f>IF($A271="","",DATE(YEAR($A271),MONTH($A271),1))</f>
        <v/>
      </c>
    </row>
    <row r="272">
      <c r="A272" s="18" t="n"/>
      <c r="B272" s="13" t="n"/>
      <c r="C272" s="13" t="n"/>
      <c r="D272" s="26" t="n"/>
      <c r="E272" s="12" t="n"/>
      <c r="F272" s="12" t="n"/>
      <c r="G272" s="12" t="n"/>
      <c r="H272" s="12" t="n"/>
      <c r="I272" s="13" t="n"/>
      <c r="J272" s="13" t="n"/>
      <c r="K272" s="12" t="n"/>
      <c r="L272" s="13" t="n"/>
      <c r="M272" s="15">
        <f>IF($A272="","",IF($D272="",1,$D272)*$E272+$F272-$H272)</f>
        <v/>
      </c>
      <c r="N272" s="15">
        <f>IF($A272="","",IF($B272="Etsy",IF($D272="",1,$D272)*Settings!$C$19,0))</f>
        <v/>
      </c>
      <c r="O272" s="15">
        <f>IF($A272="","",IF($B272="Etsy",Settings!$C$20*($M272+IF(Settings!$C$54="Y",0,$H272)),0))</f>
        <v/>
      </c>
      <c r="P272" s="15">
        <f>IF($A272="","",IF($B272="Etsy",Settings!$C$21*$M272*(1+Settings!$C$55)+Settings!$C$22,IF($B272="Shopify",Settings!$C$14*$M272+Settings!$C$15,0)))</f>
        <v/>
      </c>
      <c r="Q272" s="15">
        <f>IF($A272="","",IF(AND($B272="Etsy",$I272="Y"),MIN(Settings!$C$12*($M272+IF(Settings!$C$54="Y",0,$H272)),Settings!$C$25),0))</f>
        <v/>
      </c>
      <c r="R272" s="15">
        <f>IF($A272="","",IF(AND($B272="Etsy",$J272="Y",$L272="Y",$M272&gt;0),($O272+Settings!$C$21*$M272*(1+Settings!$C$55)+IF(Settings!$C$59="Y",$Q272,0))*$T272/$M272+IF(AND(Settings!$C$58="Y",$T272&gt;=$M272),Settings!$C$22,0),0))</f>
        <v/>
      </c>
      <c r="S272" s="15">
        <f>IF($A272="","",$N272+$O272+$P272+$Q272-$R272)</f>
        <v/>
      </c>
      <c r="T272" s="15">
        <f>IF($A272="","",IF($J272="Y",IF($K272="",$M272,MIN($K272,$M272)),0))</f>
        <v/>
      </c>
      <c r="U272" s="15">
        <f>IF($A272="","",IF($D272="",1,$D272)*IFERROR(INDEX(Products!$F$5:$F$54,MATCH($C272,Products!$A$5:$A$54,0)),0))</f>
        <v/>
      </c>
      <c r="V272" s="27">
        <f>IF($A272="","",$M272-$T272-$S272-$U272-$G272)</f>
        <v/>
      </c>
      <c r="W272" s="31">
        <f>IF($A272="","",IF($M272-$T272&gt;0,$V272/($M272-$T272),""))</f>
        <v/>
      </c>
      <c r="X272" s="35">
        <f>IF($A272="","",DATE(YEAR($A272),MONTH($A272),1))</f>
        <v/>
      </c>
    </row>
    <row r="273">
      <c r="A273" s="18" t="n"/>
      <c r="B273" s="13" t="n"/>
      <c r="C273" s="13" t="n"/>
      <c r="D273" s="26" t="n"/>
      <c r="E273" s="12" t="n"/>
      <c r="F273" s="12" t="n"/>
      <c r="G273" s="12" t="n"/>
      <c r="H273" s="12" t="n"/>
      <c r="I273" s="13" t="n"/>
      <c r="J273" s="13" t="n"/>
      <c r="K273" s="12" t="n"/>
      <c r="L273" s="13" t="n"/>
      <c r="M273" s="15">
        <f>IF($A273="","",IF($D273="",1,$D273)*$E273+$F273-$H273)</f>
        <v/>
      </c>
      <c r="N273" s="15">
        <f>IF($A273="","",IF($B273="Etsy",IF($D273="",1,$D273)*Settings!$C$19,0))</f>
        <v/>
      </c>
      <c r="O273" s="15">
        <f>IF($A273="","",IF($B273="Etsy",Settings!$C$20*($M273+IF(Settings!$C$54="Y",0,$H273)),0))</f>
        <v/>
      </c>
      <c r="P273" s="15">
        <f>IF($A273="","",IF($B273="Etsy",Settings!$C$21*$M273*(1+Settings!$C$55)+Settings!$C$22,IF($B273="Shopify",Settings!$C$14*$M273+Settings!$C$15,0)))</f>
        <v/>
      </c>
      <c r="Q273" s="15">
        <f>IF($A273="","",IF(AND($B273="Etsy",$I273="Y"),MIN(Settings!$C$12*($M273+IF(Settings!$C$54="Y",0,$H273)),Settings!$C$25),0))</f>
        <v/>
      </c>
      <c r="R273" s="15">
        <f>IF($A273="","",IF(AND($B273="Etsy",$J273="Y",$L273="Y",$M273&gt;0),($O273+Settings!$C$21*$M273*(1+Settings!$C$55)+IF(Settings!$C$59="Y",$Q273,0))*$T273/$M273+IF(AND(Settings!$C$58="Y",$T273&gt;=$M273),Settings!$C$22,0),0))</f>
        <v/>
      </c>
      <c r="S273" s="15">
        <f>IF($A273="","",$N273+$O273+$P273+$Q273-$R273)</f>
        <v/>
      </c>
      <c r="T273" s="15">
        <f>IF($A273="","",IF($J273="Y",IF($K273="",$M273,MIN($K273,$M273)),0))</f>
        <v/>
      </c>
      <c r="U273" s="15">
        <f>IF($A273="","",IF($D273="",1,$D273)*IFERROR(INDEX(Products!$F$5:$F$54,MATCH($C273,Products!$A$5:$A$54,0)),0))</f>
        <v/>
      </c>
      <c r="V273" s="27">
        <f>IF($A273="","",$M273-$T273-$S273-$U273-$G273)</f>
        <v/>
      </c>
      <c r="W273" s="31">
        <f>IF($A273="","",IF($M273-$T273&gt;0,$V273/($M273-$T273),""))</f>
        <v/>
      </c>
      <c r="X273" s="35">
        <f>IF($A273="","",DATE(YEAR($A273),MONTH($A273),1))</f>
        <v/>
      </c>
    </row>
    <row r="274">
      <c r="A274" s="18" t="n"/>
      <c r="B274" s="13" t="n"/>
      <c r="C274" s="13" t="n"/>
      <c r="D274" s="26" t="n"/>
      <c r="E274" s="12" t="n"/>
      <c r="F274" s="12" t="n"/>
      <c r="G274" s="12" t="n"/>
      <c r="H274" s="12" t="n"/>
      <c r="I274" s="13" t="n"/>
      <c r="J274" s="13" t="n"/>
      <c r="K274" s="12" t="n"/>
      <c r="L274" s="13" t="n"/>
      <c r="M274" s="15">
        <f>IF($A274="","",IF($D274="",1,$D274)*$E274+$F274-$H274)</f>
        <v/>
      </c>
      <c r="N274" s="15">
        <f>IF($A274="","",IF($B274="Etsy",IF($D274="",1,$D274)*Settings!$C$19,0))</f>
        <v/>
      </c>
      <c r="O274" s="15">
        <f>IF($A274="","",IF($B274="Etsy",Settings!$C$20*($M274+IF(Settings!$C$54="Y",0,$H274)),0))</f>
        <v/>
      </c>
      <c r="P274" s="15">
        <f>IF($A274="","",IF($B274="Etsy",Settings!$C$21*$M274*(1+Settings!$C$55)+Settings!$C$22,IF($B274="Shopify",Settings!$C$14*$M274+Settings!$C$15,0)))</f>
        <v/>
      </c>
      <c r="Q274" s="15">
        <f>IF($A274="","",IF(AND($B274="Etsy",$I274="Y"),MIN(Settings!$C$12*($M274+IF(Settings!$C$54="Y",0,$H274)),Settings!$C$25),0))</f>
        <v/>
      </c>
      <c r="R274" s="15">
        <f>IF($A274="","",IF(AND($B274="Etsy",$J274="Y",$L274="Y",$M274&gt;0),($O274+Settings!$C$21*$M274*(1+Settings!$C$55)+IF(Settings!$C$59="Y",$Q274,0))*$T274/$M274+IF(AND(Settings!$C$58="Y",$T274&gt;=$M274),Settings!$C$22,0),0))</f>
        <v/>
      </c>
      <c r="S274" s="15">
        <f>IF($A274="","",$N274+$O274+$P274+$Q274-$R274)</f>
        <v/>
      </c>
      <c r="T274" s="15">
        <f>IF($A274="","",IF($J274="Y",IF($K274="",$M274,MIN($K274,$M274)),0))</f>
        <v/>
      </c>
      <c r="U274" s="15">
        <f>IF($A274="","",IF($D274="",1,$D274)*IFERROR(INDEX(Products!$F$5:$F$54,MATCH($C274,Products!$A$5:$A$54,0)),0))</f>
        <v/>
      </c>
      <c r="V274" s="27">
        <f>IF($A274="","",$M274-$T274-$S274-$U274-$G274)</f>
        <v/>
      </c>
      <c r="W274" s="31">
        <f>IF($A274="","",IF($M274-$T274&gt;0,$V274/($M274-$T274),""))</f>
        <v/>
      </c>
      <c r="X274" s="35">
        <f>IF($A274="","",DATE(YEAR($A274),MONTH($A274),1))</f>
        <v/>
      </c>
    </row>
    <row r="275">
      <c r="A275" s="18" t="n"/>
      <c r="B275" s="13" t="n"/>
      <c r="C275" s="13" t="n"/>
      <c r="D275" s="26" t="n"/>
      <c r="E275" s="12" t="n"/>
      <c r="F275" s="12" t="n"/>
      <c r="G275" s="12" t="n"/>
      <c r="H275" s="12" t="n"/>
      <c r="I275" s="13" t="n"/>
      <c r="J275" s="13" t="n"/>
      <c r="K275" s="12" t="n"/>
      <c r="L275" s="13" t="n"/>
      <c r="M275" s="15">
        <f>IF($A275="","",IF($D275="",1,$D275)*$E275+$F275-$H275)</f>
        <v/>
      </c>
      <c r="N275" s="15">
        <f>IF($A275="","",IF($B275="Etsy",IF($D275="",1,$D275)*Settings!$C$19,0))</f>
        <v/>
      </c>
      <c r="O275" s="15">
        <f>IF($A275="","",IF($B275="Etsy",Settings!$C$20*($M275+IF(Settings!$C$54="Y",0,$H275)),0))</f>
        <v/>
      </c>
      <c r="P275" s="15">
        <f>IF($A275="","",IF($B275="Etsy",Settings!$C$21*$M275*(1+Settings!$C$55)+Settings!$C$22,IF($B275="Shopify",Settings!$C$14*$M275+Settings!$C$15,0)))</f>
        <v/>
      </c>
      <c r="Q275" s="15">
        <f>IF($A275="","",IF(AND($B275="Etsy",$I275="Y"),MIN(Settings!$C$12*($M275+IF(Settings!$C$54="Y",0,$H275)),Settings!$C$25),0))</f>
        <v/>
      </c>
      <c r="R275" s="15">
        <f>IF($A275="","",IF(AND($B275="Etsy",$J275="Y",$L275="Y",$M275&gt;0),($O275+Settings!$C$21*$M275*(1+Settings!$C$55)+IF(Settings!$C$59="Y",$Q275,0))*$T275/$M275+IF(AND(Settings!$C$58="Y",$T275&gt;=$M275),Settings!$C$22,0),0))</f>
        <v/>
      </c>
      <c r="S275" s="15">
        <f>IF($A275="","",$N275+$O275+$P275+$Q275-$R275)</f>
        <v/>
      </c>
      <c r="T275" s="15">
        <f>IF($A275="","",IF($J275="Y",IF($K275="",$M275,MIN($K275,$M275)),0))</f>
        <v/>
      </c>
      <c r="U275" s="15">
        <f>IF($A275="","",IF($D275="",1,$D275)*IFERROR(INDEX(Products!$F$5:$F$54,MATCH($C275,Products!$A$5:$A$54,0)),0))</f>
        <v/>
      </c>
      <c r="V275" s="27">
        <f>IF($A275="","",$M275-$T275-$S275-$U275-$G275)</f>
        <v/>
      </c>
      <c r="W275" s="31">
        <f>IF($A275="","",IF($M275-$T275&gt;0,$V275/($M275-$T275),""))</f>
        <v/>
      </c>
      <c r="X275" s="35">
        <f>IF($A275="","",DATE(YEAR($A275),MONTH($A275),1))</f>
        <v/>
      </c>
    </row>
    <row r="276">
      <c r="A276" s="18" t="n"/>
      <c r="B276" s="13" t="n"/>
      <c r="C276" s="13" t="n"/>
      <c r="D276" s="26" t="n"/>
      <c r="E276" s="12" t="n"/>
      <c r="F276" s="12" t="n"/>
      <c r="G276" s="12" t="n"/>
      <c r="H276" s="12" t="n"/>
      <c r="I276" s="13" t="n"/>
      <c r="J276" s="13" t="n"/>
      <c r="K276" s="12" t="n"/>
      <c r="L276" s="13" t="n"/>
      <c r="M276" s="15">
        <f>IF($A276="","",IF($D276="",1,$D276)*$E276+$F276-$H276)</f>
        <v/>
      </c>
      <c r="N276" s="15">
        <f>IF($A276="","",IF($B276="Etsy",IF($D276="",1,$D276)*Settings!$C$19,0))</f>
        <v/>
      </c>
      <c r="O276" s="15">
        <f>IF($A276="","",IF($B276="Etsy",Settings!$C$20*($M276+IF(Settings!$C$54="Y",0,$H276)),0))</f>
        <v/>
      </c>
      <c r="P276" s="15">
        <f>IF($A276="","",IF($B276="Etsy",Settings!$C$21*$M276*(1+Settings!$C$55)+Settings!$C$22,IF($B276="Shopify",Settings!$C$14*$M276+Settings!$C$15,0)))</f>
        <v/>
      </c>
      <c r="Q276" s="15">
        <f>IF($A276="","",IF(AND($B276="Etsy",$I276="Y"),MIN(Settings!$C$12*($M276+IF(Settings!$C$54="Y",0,$H276)),Settings!$C$25),0))</f>
        <v/>
      </c>
      <c r="R276" s="15">
        <f>IF($A276="","",IF(AND($B276="Etsy",$J276="Y",$L276="Y",$M276&gt;0),($O276+Settings!$C$21*$M276*(1+Settings!$C$55)+IF(Settings!$C$59="Y",$Q276,0))*$T276/$M276+IF(AND(Settings!$C$58="Y",$T276&gt;=$M276),Settings!$C$22,0),0))</f>
        <v/>
      </c>
      <c r="S276" s="15">
        <f>IF($A276="","",$N276+$O276+$P276+$Q276-$R276)</f>
        <v/>
      </c>
      <c r="T276" s="15">
        <f>IF($A276="","",IF($J276="Y",IF($K276="",$M276,MIN($K276,$M276)),0))</f>
        <v/>
      </c>
      <c r="U276" s="15">
        <f>IF($A276="","",IF($D276="",1,$D276)*IFERROR(INDEX(Products!$F$5:$F$54,MATCH($C276,Products!$A$5:$A$54,0)),0))</f>
        <v/>
      </c>
      <c r="V276" s="27">
        <f>IF($A276="","",$M276-$T276-$S276-$U276-$G276)</f>
        <v/>
      </c>
      <c r="W276" s="31">
        <f>IF($A276="","",IF($M276-$T276&gt;0,$V276/($M276-$T276),""))</f>
        <v/>
      </c>
      <c r="X276" s="35">
        <f>IF($A276="","",DATE(YEAR($A276),MONTH($A276),1))</f>
        <v/>
      </c>
    </row>
    <row r="277">
      <c r="A277" s="18" t="n"/>
      <c r="B277" s="13" t="n"/>
      <c r="C277" s="13" t="n"/>
      <c r="D277" s="26" t="n"/>
      <c r="E277" s="12" t="n"/>
      <c r="F277" s="12" t="n"/>
      <c r="G277" s="12" t="n"/>
      <c r="H277" s="12" t="n"/>
      <c r="I277" s="13" t="n"/>
      <c r="J277" s="13" t="n"/>
      <c r="K277" s="12" t="n"/>
      <c r="L277" s="13" t="n"/>
      <c r="M277" s="15">
        <f>IF($A277="","",IF($D277="",1,$D277)*$E277+$F277-$H277)</f>
        <v/>
      </c>
      <c r="N277" s="15">
        <f>IF($A277="","",IF($B277="Etsy",IF($D277="",1,$D277)*Settings!$C$19,0))</f>
        <v/>
      </c>
      <c r="O277" s="15">
        <f>IF($A277="","",IF($B277="Etsy",Settings!$C$20*($M277+IF(Settings!$C$54="Y",0,$H277)),0))</f>
        <v/>
      </c>
      <c r="P277" s="15">
        <f>IF($A277="","",IF($B277="Etsy",Settings!$C$21*$M277*(1+Settings!$C$55)+Settings!$C$22,IF($B277="Shopify",Settings!$C$14*$M277+Settings!$C$15,0)))</f>
        <v/>
      </c>
      <c r="Q277" s="15">
        <f>IF($A277="","",IF(AND($B277="Etsy",$I277="Y"),MIN(Settings!$C$12*($M277+IF(Settings!$C$54="Y",0,$H277)),Settings!$C$25),0))</f>
        <v/>
      </c>
      <c r="R277" s="15">
        <f>IF($A277="","",IF(AND($B277="Etsy",$J277="Y",$L277="Y",$M277&gt;0),($O277+Settings!$C$21*$M277*(1+Settings!$C$55)+IF(Settings!$C$59="Y",$Q277,0))*$T277/$M277+IF(AND(Settings!$C$58="Y",$T277&gt;=$M277),Settings!$C$22,0),0))</f>
        <v/>
      </c>
      <c r="S277" s="15">
        <f>IF($A277="","",$N277+$O277+$P277+$Q277-$R277)</f>
        <v/>
      </c>
      <c r="T277" s="15">
        <f>IF($A277="","",IF($J277="Y",IF($K277="",$M277,MIN($K277,$M277)),0))</f>
        <v/>
      </c>
      <c r="U277" s="15">
        <f>IF($A277="","",IF($D277="",1,$D277)*IFERROR(INDEX(Products!$F$5:$F$54,MATCH($C277,Products!$A$5:$A$54,0)),0))</f>
        <v/>
      </c>
      <c r="V277" s="27">
        <f>IF($A277="","",$M277-$T277-$S277-$U277-$G277)</f>
        <v/>
      </c>
      <c r="W277" s="31">
        <f>IF($A277="","",IF($M277-$T277&gt;0,$V277/($M277-$T277),""))</f>
        <v/>
      </c>
      <c r="X277" s="35">
        <f>IF($A277="","",DATE(YEAR($A277),MONTH($A277),1))</f>
        <v/>
      </c>
    </row>
    <row r="278">
      <c r="A278" s="18" t="n"/>
      <c r="B278" s="13" t="n"/>
      <c r="C278" s="13" t="n"/>
      <c r="D278" s="26" t="n"/>
      <c r="E278" s="12" t="n"/>
      <c r="F278" s="12" t="n"/>
      <c r="G278" s="12" t="n"/>
      <c r="H278" s="12" t="n"/>
      <c r="I278" s="13" t="n"/>
      <c r="J278" s="13" t="n"/>
      <c r="K278" s="12" t="n"/>
      <c r="L278" s="13" t="n"/>
      <c r="M278" s="15">
        <f>IF($A278="","",IF($D278="",1,$D278)*$E278+$F278-$H278)</f>
        <v/>
      </c>
      <c r="N278" s="15">
        <f>IF($A278="","",IF($B278="Etsy",IF($D278="",1,$D278)*Settings!$C$19,0))</f>
        <v/>
      </c>
      <c r="O278" s="15">
        <f>IF($A278="","",IF($B278="Etsy",Settings!$C$20*($M278+IF(Settings!$C$54="Y",0,$H278)),0))</f>
        <v/>
      </c>
      <c r="P278" s="15">
        <f>IF($A278="","",IF($B278="Etsy",Settings!$C$21*$M278*(1+Settings!$C$55)+Settings!$C$22,IF($B278="Shopify",Settings!$C$14*$M278+Settings!$C$15,0)))</f>
        <v/>
      </c>
      <c r="Q278" s="15">
        <f>IF($A278="","",IF(AND($B278="Etsy",$I278="Y"),MIN(Settings!$C$12*($M278+IF(Settings!$C$54="Y",0,$H278)),Settings!$C$25),0))</f>
        <v/>
      </c>
      <c r="R278" s="15">
        <f>IF($A278="","",IF(AND($B278="Etsy",$J278="Y",$L278="Y",$M278&gt;0),($O278+Settings!$C$21*$M278*(1+Settings!$C$55)+IF(Settings!$C$59="Y",$Q278,0))*$T278/$M278+IF(AND(Settings!$C$58="Y",$T278&gt;=$M278),Settings!$C$22,0),0))</f>
        <v/>
      </c>
      <c r="S278" s="15">
        <f>IF($A278="","",$N278+$O278+$P278+$Q278-$R278)</f>
        <v/>
      </c>
      <c r="T278" s="15">
        <f>IF($A278="","",IF($J278="Y",IF($K278="",$M278,MIN($K278,$M278)),0))</f>
        <v/>
      </c>
      <c r="U278" s="15">
        <f>IF($A278="","",IF($D278="",1,$D278)*IFERROR(INDEX(Products!$F$5:$F$54,MATCH($C278,Products!$A$5:$A$54,0)),0))</f>
        <v/>
      </c>
      <c r="V278" s="27">
        <f>IF($A278="","",$M278-$T278-$S278-$U278-$G278)</f>
        <v/>
      </c>
      <c r="W278" s="31">
        <f>IF($A278="","",IF($M278-$T278&gt;0,$V278/($M278-$T278),""))</f>
        <v/>
      </c>
      <c r="X278" s="35">
        <f>IF($A278="","",DATE(YEAR($A278),MONTH($A278),1))</f>
        <v/>
      </c>
    </row>
    <row r="279">
      <c r="A279" s="18" t="n"/>
      <c r="B279" s="13" t="n"/>
      <c r="C279" s="13" t="n"/>
      <c r="D279" s="26" t="n"/>
      <c r="E279" s="12" t="n"/>
      <c r="F279" s="12" t="n"/>
      <c r="G279" s="12" t="n"/>
      <c r="H279" s="12" t="n"/>
      <c r="I279" s="13" t="n"/>
      <c r="J279" s="13" t="n"/>
      <c r="K279" s="12" t="n"/>
      <c r="L279" s="13" t="n"/>
      <c r="M279" s="15">
        <f>IF($A279="","",IF($D279="",1,$D279)*$E279+$F279-$H279)</f>
        <v/>
      </c>
      <c r="N279" s="15">
        <f>IF($A279="","",IF($B279="Etsy",IF($D279="",1,$D279)*Settings!$C$19,0))</f>
        <v/>
      </c>
      <c r="O279" s="15">
        <f>IF($A279="","",IF($B279="Etsy",Settings!$C$20*($M279+IF(Settings!$C$54="Y",0,$H279)),0))</f>
        <v/>
      </c>
      <c r="P279" s="15">
        <f>IF($A279="","",IF($B279="Etsy",Settings!$C$21*$M279*(1+Settings!$C$55)+Settings!$C$22,IF($B279="Shopify",Settings!$C$14*$M279+Settings!$C$15,0)))</f>
        <v/>
      </c>
      <c r="Q279" s="15">
        <f>IF($A279="","",IF(AND($B279="Etsy",$I279="Y"),MIN(Settings!$C$12*($M279+IF(Settings!$C$54="Y",0,$H279)),Settings!$C$25),0))</f>
        <v/>
      </c>
      <c r="R279" s="15">
        <f>IF($A279="","",IF(AND($B279="Etsy",$J279="Y",$L279="Y",$M279&gt;0),($O279+Settings!$C$21*$M279*(1+Settings!$C$55)+IF(Settings!$C$59="Y",$Q279,0))*$T279/$M279+IF(AND(Settings!$C$58="Y",$T279&gt;=$M279),Settings!$C$22,0),0))</f>
        <v/>
      </c>
      <c r="S279" s="15">
        <f>IF($A279="","",$N279+$O279+$P279+$Q279-$R279)</f>
        <v/>
      </c>
      <c r="T279" s="15">
        <f>IF($A279="","",IF($J279="Y",IF($K279="",$M279,MIN($K279,$M279)),0))</f>
        <v/>
      </c>
      <c r="U279" s="15">
        <f>IF($A279="","",IF($D279="",1,$D279)*IFERROR(INDEX(Products!$F$5:$F$54,MATCH($C279,Products!$A$5:$A$54,0)),0))</f>
        <v/>
      </c>
      <c r="V279" s="27">
        <f>IF($A279="","",$M279-$T279-$S279-$U279-$G279)</f>
        <v/>
      </c>
      <c r="W279" s="31">
        <f>IF($A279="","",IF($M279-$T279&gt;0,$V279/($M279-$T279),""))</f>
        <v/>
      </c>
      <c r="X279" s="35">
        <f>IF($A279="","",DATE(YEAR($A279),MONTH($A279),1))</f>
        <v/>
      </c>
    </row>
    <row r="280">
      <c r="A280" s="18" t="n"/>
      <c r="B280" s="13" t="n"/>
      <c r="C280" s="13" t="n"/>
      <c r="D280" s="26" t="n"/>
      <c r="E280" s="12" t="n"/>
      <c r="F280" s="12" t="n"/>
      <c r="G280" s="12" t="n"/>
      <c r="H280" s="12" t="n"/>
      <c r="I280" s="13" t="n"/>
      <c r="J280" s="13" t="n"/>
      <c r="K280" s="12" t="n"/>
      <c r="L280" s="13" t="n"/>
      <c r="M280" s="15">
        <f>IF($A280="","",IF($D280="",1,$D280)*$E280+$F280-$H280)</f>
        <v/>
      </c>
      <c r="N280" s="15">
        <f>IF($A280="","",IF($B280="Etsy",IF($D280="",1,$D280)*Settings!$C$19,0))</f>
        <v/>
      </c>
      <c r="O280" s="15">
        <f>IF($A280="","",IF($B280="Etsy",Settings!$C$20*($M280+IF(Settings!$C$54="Y",0,$H280)),0))</f>
        <v/>
      </c>
      <c r="P280" s="15">
        <f>IF($A280="","",IF($B280="Etsy",Settings!$C$21*$M280*(1+Settings!$C$55)+Settings!$C$22,IF($B280="Shopify",Settings!$C$14*$M280+Settings!$C$15,0)))</f>
        <v/>
      </c>
      <c r="Q280" s="15">
        <f>IF($A280="","",IF(AND($B280="Etsy",$I280="Y"),MIN(Settings!$C$12*($M280+IF(Settings!$C$54="Y",0,$H280)),Settings!$C$25),0))</f>
        <v/>
      </c>
      <c r="R280" s="15">
        <f>IF($A280="","",IF(AND($B280="Etsy",$J280="Y",$L280="Y",$M280&gt;0),($O280+Settings!$C$21*$M280*(1+Settings!$C$55)+IF(Settings!$C$59="Y",$Q280,0))*$T280/$M280+IF(AND(Settings!$C$58="Y",$T280&gt;=$M280),Settings!$C$22,0),0))</f>
        <v/>
      </c>
      <c r="S280" s="15">
        <f>IF($A280="","",$N280+$O280+$P280+$Q280-$R280)</f>
        <v/>
      </c>
      <c r="T280" s="15">
        <f>IF($A280="","",IF($J280="Y",IF($K280="",$M280,MIN($K280,$M280)),0))</f>
        <v/>
      </c>
      <c r="U280" s="15">
        <f>IF($A280="","",IF($D280="",1,$D280)*IFERROR(INDEX(Products!$F$5:$F$54,MATCH($C280,Products!$A$5:$A$54,0)),0))</f>
        <v/>
      </c>
      <c r="V280" s="27">
        <f>IF($A280="","",$M280-$T280-$S280-$U280-$G280)</f>
        <v/>
      </c>
      <c r="W280" s="31">
        <f>IF($A280="","",IF($M280-$T280&gt;0,$V280/($M280-$T280),""))</f>
        <v/>
      </c>
      <c r="X280" s="35">
        <f>IF($A280="","",DATE(YEAR($A280),MONTH($A280),1))</f>
        <v/>
      </c>
    </row>
    <row r="281">
      <c r="A281" s="18" t="n"/>
      <c r="B281" s="13" t="n"/>
      <c r="C281" s="13" t="n"/>
      <c r="D281" s="26" t="n"/>
      <c r="E281" s="12" t="n"/>
      <c r="F281" s="12" t="n"/>
      <c r="G281" s="12" t="n"/>
      <c r="H281" s="12" t="n"/>
      <c r="I281" s="13" t="n"/>
      <c r="J281" s="13" t="n"/>
      <c r="K281" s="12" t="n"/>
      <c r="L281" s="13" t="n"/>
      <c r="M281" s="15">
        <f>IF($A281="","",IF($D281="",1,$D281)*$E281+$F281-$H281)</f>
        <v/>
      </c>
      <c r="N281" s="15">
        <f>IF($A281="","",IF($B281="Etsy",IF($D281="",1,$D281)*Settings!$C$19,0))</f>
        <v/>
      </c>
      <c r="O281" s="15">
        <f>IF($A281="","",IF($B281="Etsy",Settings!$C$20*($M281+IF(Settings!$C$54="Y",0,$H281)),0))</f>
        <v/>
      </c>
      <c r="P281" s="15">
        <f>IF($A281="","",IF($B281="Etsy",Settings!$C$21*$M281*(1+Settings!$C$55)+Settings!$C$22,IF($B281="Shopify",Settings!$C$14*$M281+Settings!$C$15,0)))</f>
        <v/>
      </c>
      <c r="Q281" s="15">
        <f>IF($A281="","",IF(AND($B281="Etsy",$I281="Y"),MIN(Settings!$C$12*($M281+IF(Settings!$C$54="Y",0,$H281)),Settings!$C$25),0))</f>
        <v/>
      </c>
      <c r="R281" s="15">
        <f>IF($A281="","",IF(AND($B281="Etsy",$J281="Y",$L281="Y",$M281&gt;0),($O281+Settings!$C$21*$M281*(1+Settings!$C$55)+IF(Settings!$C$59="Y",$Q281,0))*$T281/$M281+IF(AND(Settings!$C$58="Y",$T281&gt;=$M281),Settings!$C$22,0),0))</f>
        <v/>
      </c>
      <c r="S281" s="15">
        <f>IF($A281="","",$N281+$O281+$P281+$Q281-$R281)</f>
        <v/>
      </c>
      <c r="T281" s="15">
        <f>IF($A281="","",IF($J281="Y",IF($K281="",$M281,MIN($K281,$M281)),0))</f>
        <v/>
      </c>
      <c r="U281" s="15">
        <f>IF($A281="","",IF($D281="",1,$D281)*IFERROR(INDEX(Products!$F$5:$F$54,MATCH($C281,Products!$A$5:$A$54,0)),0))</f>
        <v/>
      </c>
      <c r="V281" s="27">
        <f>IF($A281="","",$M281-$T281-$S281-$U281-$G281)</f>
        <v/>
      </c>
      <c r="W281" s="31">
        <f>IF($A281="","",IF($M281-$T281&gt;0,$V281/($M281-$T281),""))</f>
        <v/>
      </c>
      <c r="X281" s="35">
        <f>IF($A281="","",DATE(YEAR($A281),MONTH($A281),1))</f>
        <v/>
      </c>
    </row>
    <row r="282">
      <c r="A282" s="18" t="n"/>
      <c r="B282" s="13" t="n"/>
      <c r="C282" s="13" t="n"/>
      <c r="D282" s="26" t="n"/>
      <c r="E282" s="12" t="n"/>
      <c r="F282" s="12" t="n"/>
      <c r="G282" s="12" t="n"/>
      <c r="H282" s="12" t="n"/>
      <c r="I282" s="13" t="n"/>
      <c r="J282" s="13" t="n"/>
      <c r="K282" s="12" t="n"/>
      <c r="L282" s="13" t="n"/>
      <c r="M282" s="15">
        <f>IF($A282="","",IF($D282="",1,$D282)*$E282+$F282-$H282)</f>
        <v/>
      </c>
      <c r="N282" s="15">
        <f>IF($A282="","",IF($B282="Etsy",IF($D282="",1,$D282)*Settings!$C$19,0))</f>
        <v/>
      </c>
      <c r="O282" s="15">
        <f>IF($A282="","",IF($B282="Etsy",Settings!$C$20*($M282+IF(Settings!$C$54="Y",0,$H282)),0))</f>
        <v/>
      </c>
      <c r="P282" s="15">
        <f>IF($A282="","",IF($B282="Etsy",Settings!$C$21*$M282*(1+Settings!$C$55)+Settings!$C$22,IF($B282="Shopify",Settings!$C$14*$M282+Settings!$C$15,0)))</f>
        <v/>
      </c>
      <c r="Q282" s="15">
        <f>IF($A282="","",IF(AND($B282="Etsy",$I282="Y"),MIN(Settings!$C$12*($M282+IF(Settings!$C$54="Y",0,$H282)),Settings!$C$25),0))</f>
        <v/>
      </c>
      <c r="R282" s="15">
        <f>IF($A282="","",IF(AND($B282="Etsy",$J282="Y",$L282="Y",$M282&gt;0),($O282+Settings!$C$21*$M282*(1+Settings!$C$55)+IF(Settings!$C$59="Y",$Q282,0))*$T282/$M282+IF(AND(Settings!$C$58="Y",$T282&gt;=$M282),Settings!$C$22,0),0))</f>
        <v/>
      </c>
      <c r="S282" s="15">
        <f>IF($A282="","",$N282+$O282+$P282+$Q282-$R282)</f>
        <v/>
      </c>
      <c r="T282" s="15">
        <f>IF($A282="","",IF($J282="Y",IF($K282="",$M282,MIN($K282,$M282)),0))</f>
        <v/>
      </c>
      <c r="U282" s="15">
        <f>IF($A282="","",IF($D282="",1,$D282)*IFERROR(INDEX(Products!$F$5:$F$54,MATCH($C282,Products!$A$5:$A$54,0)),0))</f>
        <v/>
      </c>
      <c r="V282" s="27">
        <f>IF($A282="","",$M282-$T282-$S282-$U282-$G282)</f>
        <v/>
      </c>
      <c r="W282" s="31">
        <f>IF($A282="","",IF($M282-$T282&gt;0,$V282/($M282-$T282),""))</f>
        <v/>
      </c>
      <c r="X282" s="35">
        <f>IF($A282="","",DATE(YEAR($A282),MONTH($A282),1))</f>
        <v/>
      </c>
    </row>
    <row r="283">
      <c r="A283" s="18" t="n"/>
      <c r="B283" s="13" t="n"/>
      <c r="C283" s="13" t="n"/>
      <c r="D283" s="26" t="n"/>
      <c r="E283" s="12" t="n"/>
      <c r="F283" s="12" t="n"/>
      <c r="G283" s="12" t="n"/>
      <c r="H283" s="12" t="n"/>
      <c r="I283" s="13" t="n"/>
      <c r="J283" s="13" t="n"/>
      <c r="K283" s="12" t="n"/>
      <c r="L283" s="13" t="n"/>
      <c r="M283" s="15">
        <f>IF($A283="","",IF($D283="",1,$D283)*$E283+$F283-$H283)</f>
        <v/>
      </c>
      <c r="N283" s="15">
        <f>IF($A283="","",IF($B283="Etsy",IF($D283="",1,$D283)*Settings!$C$19,0))</f>
        <v/>
      </c>
      <c r="O283" s="15">
        <f>IF($A283="","",IF($B283="Etsy",Settings!$C$20*($M283+IF(Settings!$C$54="Y",0,$H283)),0))</f>
        <v/>
      </c>
      <c r="P283" s="15">
        <f>IF($A283="","",IF($B283="Etsy",Settings!$C$21*$M283*(1+Settings!$C$55)+Settings!$C$22,IF($B283="Shopify",Settings!$C$14*$M283+Settings!$C$15,0)))</f>
        <v/>
      </c>
      <c r="Q283" s="15">
        <f>IF($A283="","",IF(AND($B283="Etsy",$I283="Y"),MIN(Settings!$C$12*($M283+IF(Settings!$C$54="Y",0,$H283)),Settings!$C$25),0))</f>
        <v/>
      </c>
      <c r="R283" s="15">
        <f>IF($A283="","",IF(AND($B283="Etsy",$J283="Y",$L283="Y",$M283&gt;0),($O283+Settings!$C$21*$M283*(1+Settings!$C$55)+IF(Settings!$C$59="Y",$Q283,0))*$T283/$M283+IF(AND(Settings!$C$58="Y",$T283&gt;=$M283),Settings!$C$22,0),0))</f>
        <v/>
      </c>
      <c r="S283" s="15">
        <f>IF($A283="","",$N283+$O283+$P283+$Q283-$R283)</f>
        <v/>
      </c>
      <c r="T283" s="15">
        <f>IF($A283="","",IF($J283="Y",IF($K283="",$M283,MIN($K283,$M283)),0))</f>
        <v/>
      </c>
      <c r="U283" s="15">
        <f>IF($A283="","",IF($D283="",1,$D283)*IFERROR(INDEX(Products!$F$5:$F$54,MATCH($C283,Products!$A$5:$A$54,0)),0))</f>
        <v/>
      </c>
      <c r="V283" s="27">
        <f>IF($A283="","",$M283-$T283-$S283-$U283-$G283)</f>
        <v/>
      </c>
      <c r="W283" s="31">
        <f>IF($A283="","",IF($M283-$T283&gt;0,$V283/($M283-$T283),""))</f>
        <v/>
      </c>
      <c r="X283" s="35">
        <f>IF($A283="","",DATE(YEAR($A283),MONTH($A283),1))</f>
        <v/>
      </c>
    </row>
    <row r="284">
      <c r="A284" s="18" t="n"/>
      <c r="B284" s="13" t="n"/>
      <c r="C284" s="13" t="n"/>
      <c r="D284" s="26" t="n"/>
      <c r="E284" s="12" t="n"/>
      <c r="F284" s="12" t="n"/>
      <c r="G284" s="12" t="n"/>
      <c r="H284" s="12" t="n"/>
      <c r="I284" s="13" t="n"/>
      <c r="J284" s="13" t="n"/>
      <c r="K284" s="12" t="n"/>
      <c r="L284" s="13" t="n"/>
      <c r="M284" s="15">
        <f>IF($A284="","",IF($D284="",1,$D284)*$E284+$F284-$H284)</f>
        <v/>
      </c>
      <c r="N284" s="15">
        <f>IF($A284="","",IF($B284="Etsy",IF($D284="",1,$D284)*Settings!$C$19,0))</f>
        <v/>
      </c>
      <c r="O284" s="15">
        <f>IF($A284="","",IF($B284="Etsy",Settings!$C$20*($M284+IF(Settings!$C$54="Y",0,$H284)),0))</f>
        <v/>
      </c>
      <c r="P284" s="15">
        <f>IF($A284="","",IF($B284="Etsy",Settings!$C$21*$M284*(1+Settings!$C$55)+Settings!$C$22,IF($B284="Shopify",Settings!$C$14*$M284+Settings!$C$15,0)))</f>
        <v/>
      </c>
      <c r="Q284" s="15">
        <f>IF($A284="","",IF(AND($B284="Etsy",$I284="Y"),MIN(Settings!$C$12*($M284+IF(Settings!$C$54="Y",0,$H284)),Settings!$C$25),0))</f>
        <v/>
      </c>
      <c r="R284" s="15">
        <f>IF($A284="","",IF(AND($B284="Etsy",$J284="Y",$L284="Y",$M284&gt;0),($O284+Settings!$C$21*$M284*(1+Settings!$C$55)+IF(Settings!$C$59="Y",$Q284,0))*$T284/$M284+IF(AND(Settings!$C$58="Y",$T284&gt;=$M284),Settings!$C$22,0),0))</f>
        <v/>
      </c>
      <c r="S284" s="15">
        <f>IF($A284="","",$N284+$O284+$P284+$Q284-$R284)</f>
        <v/>
      </c>
      <c r="T284" s="15">
        <f>IF($A284="","",IF($J284="Y",IF($K284="",$M284,MIN($K284,$M284)),0))</f>
        <v/>
      </c>
      <c r="U284" s="15">
        <f>IF($A284="","",IF($D284="",1,$D284)*IFERROR(INDEX(Products!$F$5:$F$54,MATCH($C284,Products!$A$5:$A$54,0)),0))</f>
        <v/>
      </c>
      <c r="V284" s="27">
        <f>IF($A284="","",$M284-$T284-$S284-$U284-$G284)</f>
        <v/>
      </c>
      <c r="W284" s="31">
        <f>IF($A284="","",IF($M284-$T284&gt;0,$V284/($M284-$T284),""))</f>
        <v/>
      </c>
      <c r="X284" s="35">
        <f>IF($A284="","",DATE(YEAR($A284),MONTH($A284),1))</f>
        <v/>
      </c>
    </row>
    <row r="285">
      <c r="A285" s="18" t="n"/>
      <c r="B285" s="13" t="n"/>
      <c r="C285" s="13" t="n"/>
      <c r="D285" s="26" t="n"/>
      <c r="E285" s="12" t="n"/>
      <c r="F285" s="12" t="n"/>
      <c r="G285" s="12" t="n"/>
      <c r="H285" s="12" t="n"/>
      <c r="I285" s="13" t="n"/>
      <c r="J285" s="13" t="n"/>
      <c r="K285" s="12" t="n"/>
      <c r="L285" s="13" t="n"/>
      <c r="M285" s="15">
        <f>IF($A285="","",IF($D285="",1,$D285)*$E285+$F285-$H285)</f>
        <v/>
      </c>
      <c r="N285" s="15">
        <f>IF($A285="","",IF($B285="Etsy",IF($D285="",1,$D285)*Settings!$C$19,0))</f>
        <v/>
      </c>
      <c r="O285" s="15">
        <f>IF($A285="","",IF($B285="Etsy",Settings!$C$20*($M285+IF(Settings!$C$54="Y",0,$H285)),0))</f>
        <v/>
      </c>
      <c r="P285" s="15">
        <f>IF($A285="","",IF($B285="Etsy",Settings!$C$21*$M285*(1+Settings!$C$55)+Settings!$C$22,IF($B285="Shopify",Settings!$C$14*$M285+Settings!$C$15,0)))</f>
        <v/>
      </c>
      <c r="Q285" s="15">
        <f>IF($A285="","",IF(AND($B285="Etsy",$I285="Y"),MIN(Settings!$C$12*($M285+IF(Settings!$C$54="Y",0,$H285)),Settings!$C$25),0))</f>
        <v/>
      </c>
      <c r="R285" s="15">
        <f>IF($A285="","",IF(AND($B285="Etsy",$J285="Y",$L285="Y",$M285&gt;0),($O285+Settings!$C$21*$M285*(1+Settings!$C$55)+IF(Settings!$C$59="Y",$Q285,0))*$T285/$M285+IF(AND(Settings!$C$58="Y",$T285&gt;=$M285),Settings!$C$22,0),0))</f>
        <v/>
      </c>
      <c r="S285" s="15">
        <f>IF($A285="","",$N285+$O285+$P285+$Q285-$R285)</f>
        <v/>
      </c>
      <c r="T285" s="15">
        <f>IF($A285="","",IF($J285="Y",IF($K285="",$M285,MIN($K285,$M285)),0))</f>
        <v/>
      </c>
      <c r="U285" s="15">
        <f>IF($A285="","",IF($D285="",1,$D285)*IFERROR(INDEX(Products!$F$5:$F$54,MATCH($C285,Products!$A$5:$A$54,0)),0))</f>
        <v/>
      </c>
      <c r="V285" s="27">
        <f>IF($A285="","",$M285-$T285-$S285-$U285-$G285)</f>
        <v/>
      </c>
      <c r="W285" s="31">
        <f>IF($A285="","",IF($M285-$T285&gt;0,$V285/($M285-$T285),""))</f>
        <v/>
      </c>
      <c r="X285" s="35">
        <f>IF($A285="","",DATE(YEAR($A285),MONTH($A285),1))</f>
        <v/>
      </c>
    </row>
    <row r="286">
      <c r="A286" s="18" t="n"/>
      <c r="B286" s="13" t="n"/>
      <c r="C286" s="13" t="n"/>
      <c r="D286" s="26" t="n"/>
      <c r="E286" s="12" t="n"/>
      <c r="F286" s="12" t="n"/>
      <c r="G286" s="12" t="n"/>
      <c r="H286" s="12" t="n"/>
      <c r="I286" s="13" t="n"/>
      <c r="J286" s="13" t="n"/>
      <c r="K286" s="12" t="n"/>
      <c r="L286" s="13" t="n"/>
      <c r="M286" s="15">
        <f>IF($A286="","",IF($D286="",1,$D286)*$E286+$F286-$H286)</f>
        <v/>
      </c>
      <c r="N286" s="15">
        <f>IF($A286="","",IF($B286="Etsy",IF($D286="",1,$D286)*Settings!$C$19,0))</f>
        <v/>
      </c>
      <c r="O286" s="15">
        <f>IF($A286="","",IF($B286="Etsy",Settings!$C$20*($M286+IF(Settings!$C$54="Y",0,$H286)),0))</f>
        <v/>
      </c>
      <c r="P286" s="15">
        <f>IF($A286="","",IF($B286="Etsy",Settings!$C$21*$M286*(1+Settings!$C$55)+Settings!$C$22,IF($B286="Shopify",Settings!$C$14*$M286+Settings!$C$15,0)))</f>
        <v/>
      </c>
      <c r="Q286" s="15">
        <f>IF($A286="","",IF(AND($B286="Etsy",$I286="Y"),MIN(Settings!$C$12*($M286+IF(Settings!$C$54="Y",0,$H286)),Settings!$C$25),0))</f>
        <v/>
      </c>
      <c r="R286" s="15">
        <f>IF($A286="","",IF(AND($B286="Etsy",$J286="Y",$L286="Y",$M286&gt;0),($O286+Settings!$C$21*$M286*(1+Settings!$C$55)+IF(Settings!$C$59="Y",$Q286,0))*$T286/$M286+IF(AND(Settings!$C$58="Y",$T286&gt;=$M286),Settings!$C$22,0),0))</f>
        <v/>
      </c>
      <c r="S286" s="15">
        <f>IF($A286="","",$N286+$O286+$P286+$Q286-$R286)</f>
        <v/>
      </c>
      <c r="T286" s="15">
        <f>IF($A286="","",IF($J286="Y",IF($K286="",$M286,MIN($K286,$M286)),0))</f>
        <v/>
      </c>
      <c r="U286" s="15">
        <f>IF($A286="","",IF($D286="",1,$D286)*IFERROR(INDEX(Products!$F$5:$F$54,MATCH($C286,Products!$A$5:$A$54,0)),0))</f>
        <v/>
      </c>
      <c r="V286" s="27">
        <f>IF($A286="","",$M286-$T286-$S286-$U286-$G286)</f>
        <v/>
      </c>
      <c r="W286" s="31">
        <f>IF($A286="","",IF($M286-$T286&gt;0,$V286/($M286-$T286),""))</f>
        <v/>
      </c>
      <c r="X286" s="35">
        <f>IF($A286="","",DATE(YEAR($A286),MONTH($A286),1))</f>
        <v/>
      </c>
    </row>
    <row r="287">
      <c r="A287" s="18" t="n"/>
      <c r="B287" s="13" t="n"/>
      <c r="C287" s="13" t="n"/>
      <c r="D287" s="26" t="n"/>
      <c r="E287" s="12" t="n"/>
      <c r="F287" s="12" t="n"/>
      <c r="G287" s="12" t="n"/>
      <c r="H287" s="12" t="n"/>
      <c r="I287" s="13" t="n"/>
      <c r="J287" s="13" t="n"/>
      <c r="K287" s="12" t="n"/>
      <c r="L287" s="13" t="n"/>
      <c r="M287" s="15">
        <f>IF($A287="","",IF($D287="",1,$D287)*$E287+$F287-$H287)</f>
        <v/>
      </c>
      <c r="N287" s="15">
        <f>IF($A287="","",IF($B287="Etsy",IF($D287="",1,$D287)*Settings!$C$19,0))</f>
        <v/>
      </c>
      <c r="O287" s="15">
        <f>IF($A287="","",IF($B287="Etsy",Settings!$C$20*($M287+IF(Settings!$C$54="Y",0,$H287)),0))</f>
        <v/>
      </c>
      <c r="P287" s="15">
        <f>IF($A287="","",IF($B287="Etsy",Settings!$C$21*$M287*(1+Settings!$C$55)+Settings!$C$22,IF($B287="Shopify",Settings!$C$14*$M287+Settings!$C$15,0)))</f>
        <v/>
      </c>
      <c r="Q287" s="15">
        <f>IF($A287="","",IF(AND($B287="Etsy",$I287="Y"),MIN(Settings!$C$12*($M287+IF(Settings!$C$54="Y",0,$H287)),Settings!$C$25),0))</f>
        <v/>
      </c>
      <c r="R287" s="15">
        <f>IF($A287="","",IF(AND($B287="Etsy",$J287="Y",$L287="Y",$M287&gt;0),($O287+Settings!$C$21*$M287*(1+Settings!$C$55)+IF(Settings!$C$59="Y",$Q287,0))*$T287/$M287+IF(AND(Settings!$C$58="Y",$T287&gt;=$M287),Settings!$C$22,0),0))</f>
        <v/>
      </c>
      <c r="S287" s="15">
        <f>IF($A287="","",$N287+$O287+$P287+$Q287-$R287)</f>
        <v/>
      </c>
      <c r="T287" s="15">
        <f>IF($A287="","",IF($J287="Y",IF($K287="",$M287,MIN($K287,$M287)),0))</f>
        <v/>
      </c>
      <c r="U287" s="15">
        <f>IF($A287="","",IF($D287="",1,$D287)*IFERROR(INDEX(Products!$F$5:$F$54,MATCH($C287,Products!$A$5:$A$54,0)),0))</f>
        <v/>
      </c>
      <c r="V287" s="27">
        <f>IF($A287="","",$M287-$T287-$S287-$U287-$G287)</f>
        <v/>
      </c>
      <c r="W287" s="31">
        <f>IF($A287="","",IF($M287-$T287&gt;0,$V287/($M287-$T287),""))</f>
        <v/>
      </c>
      <c r="X287" s="35">
        <f>IF($A287="","",DATE(YEAR($A287),MONTH($A287),1))</f>
        <v/>
      </c>
    </row>
    <row r="288">
      <c r="A288" s="18" t="n"/>
      <c r="B288" s="13" t="n"/>
      <c r="C288" s="13" t="n"/>
      <c r="D288" s="26" t="n"/>
      <c r="E288" s="12" t="n"/>
      <c r="F288" s="12" t="n"/>
      <c r="G288" s="12" t="n"/>
      <c r="H288" s="12" t="n"/>
      <c r="I288" s="13" t="n"/>
      <c r="J288" s="13" t="n"/>
      <c r="K288" s="12" t="n"/>
      <c r="L288" s="13" t="n"/>
      <c r="M288" s="15">
        <f>IF($A288="","",IF($D288="",1,$D288)*$E288+$F288-$H288)</f>
        <v/>
      </c>
      <c r="N288" s="15">
        <f>IF($A288="","",IF($B288="Etsy",IF($D288="",1,$D288)*Settings!$C$19,0))</f>
        <v/>
      </c>
      <c r="O288" s="15">
        <f>IF($A288="","",IF($B288="Etsy",Settings!$C$20*($M288+IF(Settings!$C$54="Y",0,$H288)),0))</f>
        <v/>
      </c>
      <c r="P288" s="15">
        <f>IF($A288="","",IF($B288="Etsy",Settings!$C$21*$M288*(1+Settings!$C$55)+Settings!$C$22,IF($B288="Shopify",Settings!$C$14*$M288+Settings!$C$15,0)))</f>
        <v/>
      </c>
      <c r="Q288" s="15">
        <f>IF($A288="","",IF(AND($B288="Etsy",$I288="Y"),MIN(Settings!$C$12*($M288+IF(Settings!$C$54="Y",0,$H288)),Settings!$C$25),0))</f>
        <v/>
      </c>
      <c r="R288" s="15">
        <f>IF($A288="","",IF(AND($B288="Etsy",$J288="Y",$L288="Y",$M288&gt;0),($O288+Settings!$C$21*$M288*(1+Settings!$C$55)+IF(Settings!$C$59="Y",$Q288,0))*$T288/$M288+IF(AND(Settings!$C$58="Y",$T288&gt;=$M288),Settings!$C$22,0),0))</f>
        <v/>
      </c>
      <c r="S288" s="15">
        <f>IF($A288="","",$N288+$O288+$P288+$Q288-$R288)</f>
        <v/>
      </c>
      <c r="T288" s="15">
        <f>IF($A288="","",IF($J288="Y",IF($K288="",$M288,MIN($K288,$M288)),0))</f>
        <v/>
      </c>
      <c r="U288" s="15">
        <f>IF($A288="","",IF($D288="",1,$D288)*IFERROR(INDEX(Products!$F$5:$F$54,MATCH($C288,Products!$A$5:$A$54,0)),0))</f>
        <v/>
      </c>
      <c r="V288" s="27">
        <f>IF($A288="","",$M288-$T288-$S288-$U288-$G288)</f>
        <v/>
      </c>
      <c r="W288" s="31">
        <f>IF($A288="","",IF($M288-$T288&gt;0,$V288/($M288-$T288),""))</f>
        <v/>
      </c>
      <c r="X288" s="35">
        <f>IF($A288="","",DATE(YEAR($A288),MONTH($A288),1))</f>
        <v/>
      </c>
    </row>
    <row r="289">
      <c r="A289" s="18" t="n"/>
      <c r="B289" s="13" t="n"/>
      <c r="C289" s="13" t="n"/>
      <c r="D289" s="26" t="n"/>
      <c r="E289" s="12" t="n"/>
      <c r="F289" s="12" t="n"/>
      <c r="G289" s="12" t="n"/>
      <c r="H289" s="12" t="n"/>
      <c r="I289" s="13" t="n"/>
      <c r="J289" s="13" t="n"/>
      <c r="K289" s="12" t="n"/>
      <c r="L289" s="13" t="n"/>
      <c r="M289" s="15">
        <f>IF($A289="","",IF($D289="",1,$D289)*$E289+$F289-$H289)</f>
        <v/>
      </c>
      <c r="N289" s="15">
        <f>IF($A289="","",IF($B289="Etsy",IF($D289="",1,$D289)*Settings!$C$19,0))</f>
        <v/>
      </c>
      <c r="O289" s="15">
        <f>IF($A289="","",IF($B289="Etsy",Settings!$C$20*($M289+IF(Settings!$C$54="Y",0,$H289)),0))</f>
        <v/>
      </c>
      <c r="P289" s="15">
        <f>IF($A289="","",IF($B289="Etsy",Settings!$C$21*$M289*(1+Settings!$C$55)+Settings!$C$22,IF($B289="Shopify",Settings!$C$14*$M289+Settings!$C$15,0)))</f>
        <v/>
      </c>
      <c r="Q289" s="15">
        <f>IF($A289="","",IF(AND($B289="Etsy",$I289="Y"),MIN(Settings!$C$12*($M289+IF(Settings!$C$54="Y",0,$H289)),Settings!$C$25),0))</f>
        <v/>
      </c>
      <c r="R289" s="15">
        <f>IF($A289="","",IF(AND($B289="Etsy",$J289="Y",$L289="Y",$M289&gt;0),($O289+Settings!$C$21*$M289*(1+Settings!$C$55)+IF(Settings!$C$59="Y",$Q289,0))*$T289/$M289+IF(AND(Settings!$C$58="Y",$T289&gt;=$M289),Settings!$C$22,0),0))</f>
        <v/>
      </c>
      <c r="S289" s="15">
        <f>IF($A289="","",$N289+$O289+$P289+$Q289-$R289)</f>
        <v/>
      </c>
      <c r="T289" s="15">
        <f>IF($A289="","",IF($J289="Y",IF($K289="",$M289,MIN($K289,$M289)),0))</f>
        <v/>
      </c>
      <c r="U289" s="15">
        <f>IF($A289="","",IF($D289="",1,$D289)*IFERROR(INDEX(Products!$F$5:$F$54,MATCH($C289,Products!$A$5:$A$54,0)),0))</f>
        <v/>
      </c>
      <c r="V289" s="27">
        <f>IF($A289="","",$M289-$T289-$S289-$U289-$G289)</f>
        <v/>
      </c>
      <c r="W289" s="31">
        <f>IF($A289="","",IF($M289-$T289&gt;0,$V289/($M289-$T289),""))</f>
        <v/>
      </c>
      <c r="X289" s="35">
        <f>IF($A289="","",DATE(YEAR($A289),MONTH($A289),1))</f>
        <v/>
      </c>
    </row>
    <row r="290">
      <c r="A290" s="18" t="n"/>
      <c r="B290" s="13" t="n"/>
      <c r="C290" s="13" t="n"/>
      <c r="D290" s="26" t="n"/>
      <c r="E290" s="12" t="n"/>
      <c r="F290" s="12" t="n"/>
      <c r="G290" s="12" t="n"/>
      <c r="H290" s="12" t="n"/>
      <c r="I290" s="13" t="n"/>
      <c r="J290" s="13" t="n"/>
      <c r="K290" s="12" t="n"/>
      <c r="L290" s="13" t="n"/>
      <c r="M290" s="15">
        <f>IF($A290="","",IF($D290="",1,$D290)*$E290+$F290-$H290)</f>
        <v/>
      </c>
      <c r="N290" s="15">
        <f>IF($A290="","",IF($B290="Etsy",IF($D290="",1,$D290)*Settings!$C$19,0))</f>
        <v/>
      </c>
      <c r="O290" s="15">
        <f>IF($A290="","",IF($B290="Etsy",Settings!$C$20*($M290+IF(Settings!$C$54="Y",0,$H290)),0))</f>
        <v/>
      </c>
      <c r="P290" s="15">
        <f>IF($A290="","",IF($B290="Etsy",Settings!$C$21*$M290*(1+Settings!$C$55)+Settings!$C$22,IF($B290="Shopify",Settings!$C$14*$M290+Settings!$C$15,0)))</f>
        <v/>
      </c>
      <c r="Q290" s="15">
        <f>IF($A290="","",IF(AND($B290="Etsy",$I290="Y"),MIN(Settings!$C$12*($M290+IF(Settings!$C$54="Y",0,$H290)),Settings!$C$25),0))</f>
        <v/>
      </c>
      <c r="R290" s="15">
        <f>IF($A290="","",IF(AND($B290="Etsy",$J290="Y",$L290="Y",$M290&gt;0),($O290+Settings!$C$21*$M290*(1+Settings!$C$55)+IF(Settings!$C$59="Y",$Q290,0))*$T290/$M290+IF(AND(Settings!$C$58="Y",$T290&gt;=$M290),Settings!$C$22,0),0))</f>
        <v/>
      </c>
      <c r="S290" s="15">
        <f>IF($A290="","",$N290+$O290+$P290+$Q290-$R290)</f>
        <v/>
      </c>
      <c r="T290" s="15">
        <f>IF($A290="","",IF($J290="Y",IF($K290="",$M290,MIN($K290,$M290)),0))</f>
        <v/>
      </c>
      <c r="U290" s="15">
        <f>IF($A290="","",IF($D290="",1,$D290)*IFERROR(INDEX(Products!$F$5:$F$54,MATCH($C290,Products!$A$5:$A$54,0)),0))</f>
        <v/>
      </c>
      <c r="V290" s="27">
        <f>IF($A290="","",$M290-$T290-$S290-$U290-$G290)</f>
        <v/>
      </c>
      <c r="W290" s="31">
        <f>IF($A290="","",IF($M290-$T290&gt;0,$V290/($M290-$T290),""))</f>
        <v/>
      </c>
      <c r="X290" s="35">
        <f>IF($A290="","",DATE(YEAR($A290),MONTH($A290),1))</f>
        <v/>
      </c>
    </row>
    <row r="291">
      <c r="A291" s="18" t="n"/>
      <c r="B291" s="13" t="n"/>
      <c r="C291" s="13" t="n"/>
      <c r="D291" s="26" t="n"/>
      <c r="E291" s="12" t="n"/>
      <c r="F291" s="12" t="n"/>
      <c r="G291" s="12" t="n"/>
      <c r="H291" s="12" t="n"/>
      <c r="I291" s="13" t="n"/>
      <c r="J291" s="13" t="n"/>
      <c r="K291" s="12" t="n"/>
      <c r="L291" s="13" t="n"/>
      <c r="M291" s="15">
        <f>IF($A291="","",IF($D291="",1,$D291)*$E291+$F291-$H291)</f>
        <v/>
      </c>
      <c r="N291" s="15">
        <f>IF($A291="","",IF($B291="Etsy",IF($D291="",1,$D291)*Settings!$C$19,0))</f>
        <v/>
      </c>
      <c r="O291" s="15">
        <f>IF($A291="","",IF($B291="Etsy",Settings!$C$20*($M291+IF(Settings!$C$54="Y",0,$H291)),0))</f>
        <v/>
      </c>
      <c r="P291" s="15">
        <f>IF($A291="","",IF($B291="Etsy",Settings!$C$21*$M291*(1+Settings!$C$55)+Settings!$C$22,IF($B291="Shopify",Settings!$C$14*$M291+Settings!$C$15,0)))</f>
        <v/>
      </c>
      <c r="Q291" s="15">
        <f>IF($A291="","",IF(AND($B291="Etsy",$I291="Y"),MIN(Settings!$C$12*($M291+IF(Settings!$C$54="Y",0,$H291)),Settings!$C$25),0))</f>
        <v/>
      </c>
      <c r="R291" s="15">
        <f>IF($A291="","",IF(AND($B291="Etsy",$J291="Y",$L291="Y",$M291&gt;0),($O291+Settings!$C$21*$M291*(1+Settings!$C$55)+IF(Settings!$C$59="Y",$Q291,0))*$T291/$M291+IF(AND(Settings!$C$58="Y",$T291&gt;=$M291),Settings!$C$22,0),0))</f>
        <v/>
      </c>
      <c r="S291" s="15">
        <f>IF($A291="","",$N291+$O291+$P291+$Q291-$R291)</f>
        <v/>
      </c>
      <c r="T291" s="15">
        <f>IF($A291="","",IF($J291="Y",IF($K291="",$M291,MIN($K291,$M291)),0))</f>
        <v/>
      </c>
      <c r="U291" s="15">
        <f>IF($A291="","",IF($D291="",1,$D291)*IFERROR(INDEX(Products!$F$5:$F$54,MATCH($C291,Products!$A$5:$A$54,0)),0))</f>
        <v/>
      </c>
      <c r="V291" s="27">
        <f>IF($A291="","",$M291-$T291-$S291-$U291-$G291)</f>
        <v/>
      </c>
      <c r="W291" s="31">
        <f>IF($A291="","",IF($M291-$T291&gt;0,$V291/($M291-$T291),""))</f>
        <v/>
      </c>
      <c r="X291" s="35">
        <f>IF($A291="","",DATE(YEAR($A291),MONTH($A291),1))</f>
        <v/>
      </c>
    </row>
    <row r="292">
      <c r="A292" s="18" t="n"/>
      <c r="B292" s="13" t="n"/>
      <c r="C292" s="13" t="n"/>
      <c r="D292" s="26" t="n"/>
      <c r="E292" s="12" t="n"/>
      <c r="F292" s="12" t="n"/>
      <c r="G292" s="12" t="n"/>
      <c r="H292" s="12" t="n"/>
      <c r="I292" s="13" t="n"/>
      <c r="J292" s="13" t="n"/>
      <c r="K292" s="12" t="n"/>
      <c r="L292" s="13" t="n"/>
      <c r="M292" s="15">
        <f>IF($A292="","",IF($D292="",1,$D292)*$E292+$F292-$H292)</f>
        <v/>
      </c>
      <c r="N292" s="15">
        <f>IF($A292="","",IF($B292="Etsy",IF($D292="",1,$D292)*Settings!$C$19,0))</f>
        <v/>
      </c>
      <c r="O292" s="15">
        <f>IF($A292="","",IF($B292="Etsy",Settings!$C$20*($M292+IF(Settings!$C$54="Y",0,$H292)),0))</f>
        <v/>
      </c>
      <c r="P292" s="15">
        <f>IF($A292="","",IF($B292="Etsy",Settings!$C$21*$M292*(1+Settings!$C$55)+Settings!$C$22,IF($B292="Shopify",Settings!$C$14*$M292+Settings!$C$15,0)))</f>
        <v/>
      </c>
      <c r="Q292" s="15">
        <f>IF($A292="","",IF(AND($B292="Etsy",$I292="Y"),MIN(Settings!$C$12*($M292+IF(Settings!$C$54="Y",0,$H292)),Settings!$C$25),0))</f>
        <v/>
      </c>
      <c r="R292" s="15">
        <f>IF($A292="","",IF(AND($B292="Etsy",$J292="Y",$L292="Y",$M292&gt;0),($O292+Settings!$C$21*$M292*(1+Settings!$C$55)+IF(Settings!$C$59="Y",$Q292,0))*$T292/$M292+IF(AND(Settings!$C$58="Y",$T292&gt;=$M292),Settings!$C$22,0),0))</f>
        <v/>
      </c>
      <c r="S292" s="15">
        <f>IF($A292="","",$N292+$O292+$P292+$Q292-$R292)</f>
        <v/>
      </c>
      <c r="T292" s="15">
        <f>IF($A292="","",IF($J292="Y",IF($K292="",$M292,MIN($K292,$M292)),0))</f>
        <v/>
      </c>
      <c r="U292" s="15">
        <f>IF($A292="","",IF($D292="",1,$D292)*IFERROR(INDEX(Products!$F$5:$F$54,MATCH($C292,Products!$A$5:$A$54,0)),0))</f>
        <v/>
      </c>
      <c r="V292" s="27">
        <f>IF($A292="","",$M292-$T292-$S292-$U292-$G292)</f>
        <v/>
      </c>
      <c r="W292" s="31">
        <f>IF($A292="","",IF($M292-$T292&gt;0,$V292/($M292-$T292),""))</f>
        <v/>
      </c>
      <c r="X292" s="35">
        <f>IF($A292="","",DATE(YEAR($A292),MONTH($A292),1))</f>
        <v/>
      </c>
    </row>
    <row r="293">
      <c r="A293" s="18" t="n"/>
      <c r="B293" s="13" t="n"/>
      <c r="C293" s="13" t="n"/>
      <c r="D293" s="26" t="n"/>
      <c r="E293" s="12" t="n"/>
      <c r="F293" s="12" t="n"/>
      <c r="G293" s="12" t="n"/>
      <c r="H293" s="12" t="n"/>
      <c r="I293" s="13" t="n"/>
      <c r="J293" s="13" t="n"/>
      <c r="K293" s="12" t="n"/>
      <c r="L293" s="13" t="n"/>
      <c r="M293" s="15">
        <f>IF($A293="","",IF($D293="",1,$D293)*$E293+$F293-$H293)</f>
        <v/>
      </c>
      <c r="N293" s="15">
        <f>IF($A293="","",IF($B293="Etsy",IF($D293="",1,$D293)*Settings!$C$19,0))</f>
        <v/>
      </c>
      <c r="O293" s="15">
        <f>IF($A293="","",IF($B293="Etsy",Settings!$C$20*($M293+IF(Settings!$C$54="Y",0,$H293)),0))</f>
        <v/>
      </c>
      <c r="P293" s="15">
        <f>IF($A293="","",IF($B293="Etsy",Settings!$C$21*$M293*(1+Settings!$C$55)+Settings!$C$22,IF($B293="Shopify",Settings!$C$14*$M293+Settings!$C$15,0)))</f>
        <v/>
      </c>
      <c r="Q293" s="15">
        <f>IF($A293="","",IF(AND($B293="Etsy",$I293="Y"),MIN(Settings!$C$12*($M293+IF(Settings!$C$54="Y",0,$H293)),Settings!$C$25),0))</f>
        <v/>
      </c>
      <c r="R293" s="15">
        <f>IF($A293="","",IF(AND($B293="Etsy",$J293="Y",$L293="Y",$M293&gt;0),($O293+Settings!$C$21*$M293*(1+Settings!$C$55)+IF(Settings!$C$59="Y",$Q293,0))*$T293/$M293+IF(AND(Settings!$C$58="Y",$T293&gt;=$M293),Settings!$C$22,0),0))</f>
        <v/>
      </c>
      <c r="S293" s="15">
        <f>IF($A293="","",$N293+$O293+$P293+$Q293-$R293)</f>
        <v/>
      </c>
      <c r="T293" s="15">
        <f>IF($A293="","",IF($J293="Y",IF($K293="",$M293,MIN($K293,$M293)),0))</f>
        <v/>
      </c>
      <c r="U293" s="15">
        <f>IF($A293="","",IF($D293="",1,$D293)*IFERROR(INDEX(Products!$F$5:$F$54,MATCH($C293,Products!$A$5:$A$54,0)),0))</f>
        <v/>
      </c>
      <c r="V293" s="27">
        <f>IF($A293="","",$M293-$T293-$S293-$U293-$G293)</f>
        <v/>
      </c>
      <c r="W293" s="31">
        <f>IF($A293="","",IF($M293-$T293&gt;0,$V293/($M293-$T293),""))</f>
        <v/>
      </c>
      <c r="X293" s="35">
        <f>IF($A293="","",DATE(YEAR($A293),MONTH($A293),1))</f>
        <v/>
      </c>
    </row>
    <row r="294">
      <c r="A294" s="18" t="n"/>
      <c r="B294" s="13" t="n"/>
      <c r="C294" s="13" t="n"/>
      <c r="D294" s="26" t="n"/>
      <c r="E294" s="12" t="n"/>
      <c r="F294" s="12" t="n"/>
      <c r="G294" s="12" t="n"/>
      <c r="H294" s="12" t="n"/>
      <c r="I294" s="13" t="n"/>
      <c r="J294" s="13" t="n"/>
      <c r="K294" s="12" t="n"/>
      <c r="L294" s="13" t="n"/>
      <c r="M294" s="15">
        <f>IF($A294="","",IF($D294="",1,$D294)*$E294+$F294-$H294)</f>
        <v/>
      </c>
      <c r="N294" s="15">
        <f>IF($A294="","",IF($B294="Etsy",IF($D294="",1,$D294)*Settings!$C$19,0))</f>
        <v/>
      </c>
      <c r="O294" s="15">
        <f>IF($A294="","",IF($B294="Etsy",Settings!$C$20*($M294+IF(Settings!$C$54="Y",0,$H294)),0))</f>
        <v/>
      </c>
      <c r="P294" s="15">
        <f>IF($A294="","",IF($B294="Etsy",Settings!$C$21*$M294*(1+Settings!$C$55)+Settings!$C$22,IF($B294="Shopify",Settings!$C$14*$M294+Settings!$C$15,0)))</f>
        <v/>
      </c>
      <c r="Q294" s="15">
        <f>IF($A294="","",IF(AND($B294="Etsy",$I294="Y"),MIN(Settings!$C$12*($M294+IF(Settings!$C$54="Y",0,$H294)),Settings!$C$25),0))</f>
        <v/>
      </c>
      <c r="R294" s="15">
        <f>IF($A294="","",IF(AND($B294="Etsy",$J294="Y",$L294="Y",$M294&gt;0),($O294+Settings!$C$21*$M294*(1+Settings!$C$55)+IF(Settings!$C$59="Y",$Q294,0))*$T294/$M294+IF(AND(Settings!$C$58="Y",$T294&gt;=$M294),Settings!$C$22,0),0))</f>
        <v/>
      </c>
      <c r="S294" s="15">
        <f>IF($A294="","",$N294+$O294+$P294+$Q294-$R294)</f>
        <v/>
      </c>
      <c r="T294" s="15">
        <f>IF($A294="","",IF($J294="Y",IF($K294="",$M294,MIN($K294,$M294)),0))</f>
        <v/>
      </c>
      <c r="U294" s="15">
        <f>IF($A294="","",IF($D294="",1,$D294)*IFERROR(INDEX(Products!$F$5:$F$54,MATCH($C294,Products!$A$5:$A$54,0)),0))</f>
        <v/>
      </c>
      <c r="V294" s="27">
        <f>IF($A294="","",$M294-$T294-$S294-$U294-$G294)</f>
        <v/>
      </c>
      <c r="W294" s="31">
        <f>IF($A294="","",IF($M294-$T294&gt;0,$V294/($M294-$T294),""))</f>
        <v/>
      </c>
      <c r="X294" s="35">
        <f>IF($A294="","",DATE(YEAR($A294),MONTH($A294),1))</f>
        <v/>
      </c>
    </row>
    <row r="295">
      <c r="A295" s="18" t="n"/>
      <c r="B295" s="13" t="n"/>
      <c r="C295" s="13" t="n"/>
      <c r="D295" s="26" t="n"/>
      <c r="E295" s="12" t="n"/>
      <c r="F295" s="12" t="n"/>
      <c r="G295" s="12" t="n"/>
      <c r="H295" s="12" t="n"/>
      <c r="I295" s="13" t="n"/>
      <c r="J295" s="13" t="n"/>
      <c r="K295" s="12" t="n"/>
      <c r="L295" s="13" t="n"/>
      <c r="M295" s="15">
        <f>IF($A295="","",IF($D295="",1,$D295)*$E295+$F295-$H295)</f>
        <v/>
      </c>
      <c r="N295" s="15">
        <f>IF($A295="","",IF($B295="Etsy",IF($D295="",1,$D295)*Settings!$C$19,0))</f>
        <v/>
      </c>
      <c r="O295" s="15">
        <f>IF($A295="","",IF($B295="Etsy",Settings!$C$20*($M295+IF(Settings!$C$54="Y",0,$H295)),0))</f>
        <v/>
      </c>
      <c r="P295" s="15">
        <f>IF($A295="","",IF($B295="Etsy",Settings!$C$21*$M295*(1+Settings!$C$55)+Settings!$C$22,IF($B295="Shopify",Settings!$C$14*$M295+Settings!$C$15,0)))</f>
        <v/>
      </c>
      <c r="Q295" s="15">
        <f>IF($A295="","",IF(AND($B295="Etsy",$I295="Y"),MIN(Settings!$C$12*($M295+IF(Settings!$C$54="Y",0,$H295)),Settings!$C$25),0))</f>
        <v/>
      </c>
      <c r="R295" s="15">
        <f>IF($A295="","",IF(AND($B295="Etsy",$J295="Y",$L295="Y",$M295&gt;0),($O295+Settings!$C$21*$M295*(1+Settings!$C$55)+IF(Settings!$C$59="Y",$Q295,0))*$T295/$M295+IF(AND(Settings!$C$58="Y",$T295&gt;=$M295),Settings!$C$22,0),0))</f>
        <v/>
      </c>
      <c r="S295" s="15">
        <f>IF($A295="","",$N295+$O295+$P295+$Q295-$R295)</f>
        <v/>
      </c>
      <c r="T295" s="15">
        <f>IF($A295="","",IF($J295="Y",IF($K295="",$M295,MIN($K295,$M295)),0))</f>
        <v/>
      </c>
      <c r="U295" s="15">
        <f>IF($A295="","",IF($D295="",1,$D295)*IFERROR(INDEX(Products!$F$5:$F$54,MATCH($C295,Products!$A$5:$A$54,0)),0))</f>
        <v/>
      </c>
      <c r="V295" s="27">
        <f>IF($A295="","",$M295-$T295-$S295-$U295-$G295)</f>
        <v/>
      </c>
      <c r="W295" s="31">
        <f>IF($A295="","",IF($M295-$T295&gt;0,$V295/($M295-$T295),""))</f>
        <v/>
      </c>
      <c r="X295" s="35">
        <f>IF($A295="","",DATE(YEAR($A295),MONTH($A295),1))</f>
        <v/>
      </c>
    </row>
    <row r="296">
      <c r="A296" s="18" t="n"/>
      <c r="B296" s="13" t="n"/>
      <c r="C296" s="13" t="n"/>
      <c r="D296" s="26" t="n"/>
      <c r="E296" s="12" t="n"/>
      <c r="F296" s="12" t="n"/>
      <c r="G296" s="12" t="n"/>
      <c r="H296" s="12" t="n"/>
      <c r="I296" s="13" t="n"/>
      <c r="J296" s="13" t="n"/>
      <c r="K296" s="12" t="n"/>
      <c r="L296" s="13" t="n"/>
      <c r="M296" s="15">
        <f>IF($A296="","",IF($D296="",1,$D296)*$E296+$F296-$H296)</f>
        <v/>
      </c>
      <c r="N296" s="15">
        <f>IF($A296="","",IF($B296="Etsy",IF($D296="",1,$D296)*Settings!$C$19,0))</f>
        <v/>
      </c>
      <c r="O296" s="15">
        <f>IF($A296="","",IF($B296="Etsy",Settings!$C$20*($M296+IF(Settings!$C$54="Y",0,$H296)),0))</f>
        <v/>
      </c>
      <c r="P296" s="15">
        <f>IF($A296="","",IF($B296="Etsy",Settings!$C$21*$M296*(1+Settings!$C$55)+Settings!$C$22,IF($B296="Shopify",Settings!$C$14*$M296+Settings!$C$15,0)))</f>
        <v/>
      </c>
      <c r="Q296" s="15">
        <f>IF($A296="","",IF(AND($B296="Etsy",$I296="Y"),MIN(Settings!$C$12*($M296+IF(Settings!$C$54="Y",0,$H296)),Settings!$C$25),0))</f>
        <v/>
      </c>
      <c r="R296" s="15">
        <f>IF($A296="","",IF(AND($B296="Etsy",$J296="Y",$L296="Y",$M296&gt;0),($O296+Settings!$C$21*$M296*(1+Settings!$C$55)+IF(Settings!$C$59="Y",$Q296,0))*$T296/$M296+IF(AND(Settings!$C$58="Y",$T296&gt;=$M296),Settings!$C$22,0),0))</f>
        <v/>
      </c>
      <c r="S296" s="15">
        <f>IF($A296="","",$N296+$O296+$P296+$Q296-$R296)</f>
        <v/>
      </c>
      <c r="T296" s="15">
        <f>IF($A296="","",IF($J296="Y",IF($K296="",$M296,MIN($K296,$M296)),0))</f>
        <v/>
      </c>
      <c r="U296" s="15">
        <f>IF($A296="","",IF($D296="",1,$D296)*IFERROR(INDEX(Products!$F$5:$F$54,MATCH($C296,Products!$A$5:$A$54,0)),0))</f>
        <v/>
      </c>
      <c r="V296" s="27">
        <f>IF($A296="","",$M296-$T296-$S296-$U296-$G296)</f>
        <v/>
      </c>
      <c r="W296" s="31">
        <f>IF($A296="","",IF($M296-$T296&gt;0,$V296/($M296-$T296),""))</f>
        <v/>
      </c>
      <c r="X296" s="35">
        <f>IF($A296="","",DATE(YEAR($A296),MONTH($A296),1))</f>
        <v/>
      </c>
    </row>
    <row r="297">
      <c r="A297" s="18" t="n"/>
      <c r="B297" s="13" t="n"/>
      <c r="C297" s="13" t="n"/>
      <c r="D297" s="26" t="n"/>
      <c r="E297" s="12" t="n"/>
      <c r="F297" s="12" t="n"/>
      <c r="G297" s="12" t="n"/>
      <c r="H297" s="12" t="n"/>
      <c r="I297" s="13" t="n"/>
      <c r="J297" s="13" t="n"/>
      <c r="K297" s="12" t="n"/>
      <c r="L297" s="13" t="n"/>
      <c r="M297" s="15">
        <f>IF($A297="","",IF($D297="",1,$D297)*$E297+$F297-$H297)</f>
        <v/>
      </c>
      <c r="N297" s="15">
        <f>IF($A297="","",IF($B297="Etsy",IF($D297="",1,$D297)*Settings!$C$19,0))</f>
        <v/>
      </c>
      <c r="O297" s="15">
        <f>IF($A297="","",IF($B297="Etsy",Settings!$C$20*($M297+IF(Settings!$C$54="Y",0,$H297)),0))</f>
        <v/>
      </c>
      <c r="P297" s="15">
        <f>IF($A297="","",IF($B297="Etsy",Settings!$C$21*$M297*(1+Settings!$C$55)+Settings!$C$22,IF($B297="Shopify",Settings!$C$14*$M297+Settings!$C$15,0)))</f>
        <v/>
      </c>
      <c r="Q297" s="15">
        <f>IF($A297="","",IF(AND($B297="Etsy",$I297="Y"),MIN(Settings!$C$12*($M297+IF(Settings!$C$54="Y",0,$H297)),Settings!$C$25),0))</f>
        <v/>
      </c>
      <c r="R297" s="15">
        <f>IF($A297="","",IF(AND($B297="Etsy",$J297="Y",$L297="Y",$M297&gt;0),($O297+Settings!$C$21*$M297*(1+Settings!$C$55)+IF(Settings!$C$59="Y",$Q297,0))*$T297/$M297+IF(AND(Settings!$C$58="Y",$T297&gt;=$M297),Settings!$C$22,0),0))</f>
        <v/>
      </c>
      <c r="S297" s="15">
        <f>IF($A297="","",$N297+$O297+$P297+$Q297-$R297)</f>
        <v/>
      </c>
      <c r="T297" s="15">
        <f>IF($A297="","",IF($J297="Y",IF($K297="",$M297,MIN($K297,$M297)),0))</f>
        <v/>
      </c>
      <c r="U297" s="15">
        <f>IF($A297="","",IF($D297="",1,$D297)*IFERROR(INDEX(Products!$F$5:$F$54,MATCH($C297,Products!$A$5:$A$54,0)),0))</f>
        <v/>
      </c>
      <c r="V297" s="27">
        <f>IF($A297="","",$M297-$T297-$S297-$U297-$G297)</f>
        <v/>
      </c>
      <c r="W297" s="31">
        <f>IF($A297="","",IF($M297-$T297&gt;0,$V297/($M297-$T297),""))</f>
        <v/>
      </c>
      <c r="X297" s="35">
        <f>IF($A297="","",DATE(YEAR($A297),MONTH($A297),1))</f>
        <v/>
      </c>
    </row>
    <row r="298">
      <c r="A298" s="18" t="n"/>
      <c r="B298" s="13" t="n"/>
      <c r="C298" s="13" t="n"/>
      <c r="D298" s="26" t="n"/>
      <c r="E298" s="12" t="n"/>
      <c r="F298" s="12" t="n"/>
      <c r="G298" s="12" t="n"/>
      <c r="H298" s="12" t="n"/>
      <c r="I298" s="13" t="n"/>
      <c r="J298" s="13" t="n"/>
      <c r="K298" s="12" t="n"/>
      <c r="L298" s="13" t="n"/>
      <c r="M298" s="15">
        <f>IF($A298="","",IF($D298="",1,$D298)*$E298+$F298-$H298)</f>
        <v/>
      </c>
      <c r="N298" s="15">
        <f>IF($A298="","",IF($B298="Etsy",IF($D298="",1,$D298)*Settings!$C$19,0))</f>
        <v/>
      </c>
      <c r="O298" s="15">
        <f>IF($A298="","",IF($B298="Etsy",Settings!$C$20*($M298+IF(Settings!$C$54="Y",0,$H298)),0))</f>
        <v/>
      </c>
      <c r="P298" s="15">
        <f>IF($A298="","",IF($B298="Etsy",Settings!$C$21*$M298*(1+Settings!$C$55)+Settings!$C$22,IF($B298="Shopify",Settings!$C$14*$M298+Settings!$C$15,0)))</f>
        <v/>
      </c>
      <c r="Q298" s="15">
        <f>IF($A298="","",IF(AND($B298="Etsy",$I298="Y"),MIN(Settings!$C$12*($M298+IF(Settings!$C$54="Y",0,$H298)),Settings!$C$25),0))</f>
        <v/>
      </c>
      <c r="R298" s="15">
        <f>IF($A298="","",IF(AND($B298="Etsy",$J298="Y",$L298="Y",$M298&gt;0),($O298+Settings!$C$21*$M298*(1+Settings!$C$55)+IF(Settings!$C$59="Y",$Q298,0))*$T298/$M298+IF(AND(Settings!$C$58="Y",$T298&gt;=$M298),Settings!$C$22,0),0))</f>
        <v/>
      </c>
      <c r="S298" s="15">
        <f>IF($A298="","",$N298+$O298+$P298+$Q298-$R298)</f>
        <v/>
      </c>
      <c r="T298" s="15">
        <f>IF($A298="","",IF($J298="Y",IF($K298="",$M298,MIN($K298,$M298)),0))</f>
        <v/>
      </c>
      <c r="U298" s="15">
        <f>IF($A298="","",IF($D298="",1,$D298)*IFERROR(INDEX(Products!$F$5:$F$54,MATCH($C298,Products!$A$5:$A$54,0)),0))</f>
        <v/>
      </c>
      <c r="V298" s="27">
        <f>IF($A298="","",$M298-$T298-$S298-$U298-$G298)</f>
        <v/>
      </c>
      <c r="W298" s="31">
        <f>IF($A298="","",IF($M298-$T298&gt;0,$V298/($M298-$T298),""))</f>
        <v/>
      </c>
      <c r="X298" s="35">
        <f>IF($A298="","",DATE(YEAR($A298),MONTH($A298),1))</f>
        <v/>
      </c>
    </row>
    <row r="299">
      <c r="A299" s="18" t="n"/>
      <c r="B299" s="13" t="n"/>
      <c r="C299" s="13" t="n"/>
      <c r="D299" s="26" t="n"/>
      <c r="E299" s="12" t="n"/>
      <c r="F299" s="12" t="n"/>
      <c r="G299" s="12" t="n"/>
      <c r="H299" s="12" t="n"/>
      <c r="I299" s="13" t="n"/>
      <c r="J299" s="13" t="n"/>
      <c r="K299" s="12" t="n"/>
      <c r="L299" s="13" t="n"/>
      <c r="M299" s="15">
        <f>IF($A299="","",IF($D299="",1,$D299)*$E299+$F299-$H299)</f>
        <v/>
      </c>
      <c r="N299" s="15">
        <f>IF($A299="","",IF($B299="Etsy",IF($D299="",1,$D299)*Settings!$C$19,0))</f>
        <v/>
      </c>
      <c r="O299" s="15">
        <f>IF($A299="","",IF($B299="Etsy",Settings!$C$20*($M299+IF(Settings!$C$54="Y",0,$H299)),0))</f>
        <v/>
      </c>
      <c r="P299" s="15">
        <f>IF($A299="","",IF($B299="Etsy",Settings!$C$21*$M299*(1+Settings!$C$55)+Settings!$C$22,IF($B299="Shopify",Settings!$C$14*$M299+Settings!$C$15,0)))</f>
        <v/>
      </c>
      <c r="Q299" s="15">
        <f>IF($A299="","",IF(AND($B299="Etsy",$I299="Y"),MIN(Settings!$C$12*($M299+IF(Settings!$C$54="Y",0,$H299)),Settings!$C$25),0))</f>
        <v/>
      </c>
      <c r="R299" s="15">
        <f>IF($A299="","",IF(AND($B299="Etsy",$J299="Y",$L299="Y",$M299&gt;0),($O299+Settings!$C$21*$M299*(1+Settings!$C$55)+IF(Settings!$C$59="Y",$Q299,0))*$T299/$M299+IF(AND(Settings!$C$58="Y",$T299&gt;=$M299),Settings!$C$22,0),0))</f>
        <v/>
      </c>
      <c r="S299" s="15">
        <f>IF($A299="","",$N299+$O299+$P299+$Q299-$R299)</f>
        <v/>
      </c>
      <c r="T299" s="15">
        <f>IF($A299="","",IF($J299="Y",IF($K299="",$M299,MIN($K299,$M299)),0))</f>
        <v/>
      </c>
      <c r="U299" s="15">
        <f>IF($A299="","",IF($D299="",1,$D299)*IFERROR(INDEX(Products!$F$5:$F$54,MATCH($C299,Products!$A$5:$A$54,0)),0))</f>
        <v/>
      </c>
      <c r="V299" s="27">
        <f>IF($A299="","",$M299-$T299-$S299-$U299-$G299)</f>
        <v/>
      </c>
      <c r="W299" s="31">
        <f>IF($A299="","",IF($M299-$T299&gt;0,$V299/($M299-$T299),""))</f>
        <v/>
      </c>
      <c r="X299" s="35">
        <f>IF($A299="","",DATE(YEAR($A299),MONTH($A299),1))</f>
        <v/>
      </c>
    </row>
    <row r="300">
      <c r="A300" s="18" t="n"/>
      <c r="B300" s="13" t="n"/>
      <c r="C300" s="13" t="n"/>
      <c r="D300" s="26" t="n"/>
      <c r="E300" s="12" t="n"/>
      <c r="F300" s="12" t="n"/>
      <c r="G300" s="12" t="n"/>
      <c r="H300" s="12" t="n"/>
      <c r="I300" s="13" t="n"/>
      <c r="J300" s="13" t="n"/>
      <c r="K300" s="12" t="n"/>
      <c r="L300" s="13" t="n"/>
      <c r="M300" s="15">
        <f>IF($A300="","",IF($D300="",1,$D300)*$E300+$F300-$H300)</f>
        <v/>
      </c>
      <c r="N300" s="15">
        <f>IF($A300="","",IF($B300="Etsy",IF($D300="",1,$D300)*Settings!$C$19,0))</f>
        <v/>
      </c>
      <c r="O300" s="15">
        <f>IF($A300="","",IF($B300="Etsy",Settings!$C$20*($M300+IF(Settings!$C$54="Y",0,$H300)),0))</f>
        <v/>
      </c>
      <c r="P300" s="15">
        <f>IF($A300="","",IF($B300="Etsy",Settings!$C$21*$M300*(1+Settings!$C$55)+Settings!$C$22,IF($B300="Shopify",Settings!$C$14*$M300+Settings!$C$15,0)))</f>
        <v/>
      </c>
      <c r="Q300" s="15">
        <f>IF($A300="","",IF(AND($B300="Etsy",$I300="Y"),MIN(Settings!$C$12*($M300+IF(Settings!$C$54="Y",0,$H300)),Settings!$C$25),0))</f>
        <v/>
      </c>
      <c r="R300" s="15">
        <f>IF($A300="","",IF(AND($B300="Etsy",$J300="Y",$L300="Y",$M300&gt;0),($O300+Settings!$C$21*$M300*(1+Settings!$C$55)+IF(Settings!$C$59="Y",$Q300,0))*$T300/$M300+IF(AND(Settings!$C$58="Y",$T300&gt;=$M300),Settings!$C$22,0),0))</f>
        <v/>
      </c>
      <c r="S300" s="15">
        <f>IF($A300="","",$N300+$O300+$P300+$Q300-$R300)</f>
        <v/>
      </c>
      <c r="T300" s="15">
        <f>IF($A300="","",IF($J300="Y",IF($K300="",$M300,MIN($K300,$M300)),0))</f>
        <v/>
      </c>
      <c r="U300" s="15">
        <f>IF($A300="","",IF($D300="",1,$D300)*IFERROR(INDEX(Products!$F$5:$F$54,MATCH($C300,Products!$A$5:$A$54,0)),0))</f>
        <v/>
      </c>
      <c r="V300" s="27">
        <f>IF($A300="","",$M300-$T300-$S300-$U300-$G300)</f>
        <v/>
      </c>
      <c r="W300" s="31">
        <f>IF($A300="","",IF($M300-$T300&gt;0,$V300/($M300-$T300),""))</f>
        <v/>
      </c>
      <c r="X300" s="35">
        <f>IF($A300="","",DATE(YEAR($A300),MONTH($A300),1))</f>
        <v/>
      </c>
    </row>
    <row r="301">
      <c r="A301" s="18" t="n"/>
      <c r="B301" s="13" t="n"/>
      <c r="C301" s="13" t="n"/>
      <c r="D301" s="26" t="n"/>
      <c r="E301" s="12" t="n"/>
      <c r="F301" s="12" t="n"/>
      <c r="G301" s="12" t="n"/>
      <c r="H301" s="12" t="n"/>
      <c r="I301" s="13" t="n"/>
      <c r="J301" s="13" t="n"/>
      <c r="K301" s="12" t="n"/>
      <c r="L301" s="13" t="n"/>
      <c r="M301" s="15">
        <f>IF($A301="","",IF($D301="",1,$D301)*$E301+$F301-$H301)</f>
        <v/>
      </c>
      <c r="N301" s="15">
        <f>IF($A301="","",IF($B301="Etsy",IF($D301="",1,$D301)*Settings!$C$19,0))</f>
        <v/>
      </c>
      <c r="O301" s="15">
        <f>IF($A301="","",IF($B301="Etsy",Settings!$C$20*($M301+IF(Settings!$C$54="Y",0,$H301)),0))</f>
        <v/>
      </c>
      <c r="P301" s="15">
        <f>IF($A301="","",IF($B301="Etsy",Settings!$C$21*$M301*(1+Settings!$C$55)+Settings!$C$22,IF($B301="Shopify",Settings!$C$14*$M301+Settings!$C$15,0)))</f>
        <v/>
      </c>
      <c r="Q301" s="15">
        <f>IF($A301="","",IF(AND($B301="Etsy",$I301="Y"),MIN(Settings!$C$12*($M301+IF(Settings!$C$54="Y",0,$H301)),Settings!$C$25),0))</f>
        <v/>
      </c>
      <c r="R301" s="15">
        <f>IF($A301="","",IF(AND($B301="Etsy",$J301="Y",$L301="Y",$M301&gt;0),($O301+Settings!$C$21*$M301*(1+Settings!$C$55)+IF(Settings!$C$59="Y",$Q301,0))*$T301/$M301+IF(AND(Settings!$C$58="Y",$T301&gt;=$M301),Settings!$C$22,0),0))</f>
        <v/>
      </c>
      <c r="S301" s="15">
        <f>IF($A301="","",$N301+$O301+$P301+$Q301-$R301)</f>
        <v/>
      </c>
      <c r="T301" s="15">
        <f>IF($A301="","",IF($J301="Y",IF($K301="",$M301,MIN($K301,$M301)),0))</f>
        <v/>
      </c>
      <c r="U301" s="15">
        <f>IF($A301="","",IF($D301="",1,$D301)*IFERROR(INDEX(Products!$F$5:$F$54,MATCH($C301,Products!$A$5:$A$54,0)),0))</f>
        <v/>
      </c>
      <c r="V301" s="27">
        <f>IF($A301="","",$M301-$T301-$S301-$U301-$G301)</f>
        <v/>
      </c>
      <c r="W301" s="31">
        <f>IF($A301="","",IF($M301-$T301&gt;0,$V301/($M301-$T301),""))</f>
        <v/>
      </c>
      <c r="X301" s="35">
        <f>IF($A301="","",DATE(YEAR($A301),MONTH($A301),1))</f>
        <v/>
      </c>
    </row>
    <row r="302">
      <c r="A302" s="18" t="n"/>
      <c r="B302" s="13" t="n"/>
      <c r="C302" s="13" t="n"/>
      <c r="D302" s="26" t="n"/>
      <c r="E302" s="12" t="n"/>
      <c r="F302" s="12" t="n"/>
      <c r="G302" s="12" t="n"/>
      <c r="H302" s="12" t="n"/>
      <c r="I302" s="13" t="n"/>
      <c r="J302" s="13" t="n"/>
      <c r="K302" s="12" t="n"/>
      <c r="L302" s="13" t="n"/>
      <c r="M302" s="15">
        <f>IF($A302="","",IF($D302="",1,$D302)*$E302+$F302-$H302)</f>
        <v/>
      </c>
      <c r="N302" s="15">
        <f>IF($A302="","",IF($B302="Etsy",IF($D302="",1,$D302)*Settings!$C$19,0))</f>
        <v/>
      </c>
      <c r="O302" s="15">
        <f>IF($A302="","",IF($B302="Etsy",Settings!$C$20*($M302+IF(Settings!$C$54="Y",0,$H302)),0))</f>
        <v/>
      </c>
      <c r="P302" s="15">
        <f>IF($A302="","",IF($B302="Etsy",Settings!$C$21*$M302*(1+Settings!$C$55)+Settings!$C$22,IF($B302="Shopify",Settings!$C$14*$M302+Settings!$C$15,0)))</f>
        <v/>
      </c>
      <c r="Q302" s="15">
        <f>IF($A302="","",IF(AND($B302="Etsy",$I302="Y"),MIN(Settings!$C$12*($M302+IF(Settings!$C$54="Y",0,$H302)),Settings!$C$25),0))</f>
        <v/>
      </c>
      <c r="R302" s="15">
        <f>IF($A302="","",IF(AND($B302="Etsy",$J302="Y",$L302="Y",$M302&gt;0),($O302+Settings!$C$21*$M302*(1+Settings!$C$55)+IF(Settings!$C$59="Y",$Q302,0))*$T302/$M302+IF(AND(Settings!$C$58="Y",$T302&gt;=$M302),Settings!$C$22,0),0))</f>
        <v/>
      </c>
      <c r="S302" s="15">
        <f>IF($A302="","",$N302+$O302+$P302+$Q302-$R302)</f>
        <v/>
      </c>
      <c r="T302" s="15">
        <f>IF($A302="","",IF($J302="Y",IF($K302="",$M302,MIN($K302,$M302)),0))</f>
        <v/>
      </c>
      <c r="U302" s="15">
        <f>IF($A302="","",IF($D302="",1,$D302)*IFERROR(INDEX(Products!$F$5:$F$54,MATCH($C302,Products!$A$5:$A$54,0)),0))</f>
        <v/>
      </c>
      <c r="V302" s="27">
        <f>IF($A302="","",$M302-$T302-$S302-$U302-$G302)</f>
        <v/>
      </c>
      <c r="W302" s="31">
        <f>IF($A302="","",IF($M302-$T302&gt;0,$V302/($M302-$T302),""))</f>
        <v/>
      </c>
      <c r="X302" s="35">
        <f>IF($A302="","",DATE(YEAR($A302),MONTH($A302),1))</f>
        <v/>
      </c>
    </row>
    <row r="303">
      <c r="A303" s="18" t="n"/>
      <c r="B303" s="13" t="n"/>
      <c r="C303" s="13" t="n"/>
      <c r="D303" s="26" t="n"/>
      <c r="E303" s="12" t="n"/>
      <c r="F303" s="12" t="n"/>
      <c r="G303" s="12" t="n"/>
      <c r="H303" s="12" t="n"/>
      <c r="I303" s="13" t="n"/>
      <c r="J303" s="13" t="n"/>
      <c r="K303" s="12" t="n"/>
      <c r="L303" s="13" t="n"/>
      <c r="M303" s="15">
        <f>IF($A303="","",IF($D303="",1,$D303)*$E303+$F303-$H303)</f>
        <v/>
      </c>
      <c r="N303" s="15">
        <f>IF($A303="","",IF($B303="Etsy",IF($D303="",1,$D303)*Settings!$C$19,0))</f>
        <v/>
      </c>
      <c r="O303" s="15">
        <f>IF($A303="","",IF($B303="Etsy",Settings!$C$20*($M303+IF(Settings!$C$54="Y",0,$H303)),0))</f>
        <v/>
      </c>
      <c r="P303" s="15">
        <f>IF($A303="","",IF($B303="Etsy",Settings!$C$21*$M303*(1+Settings!$C$55)+Settings!$C$22,IF($B303="Shopify",Settings!$C$14*$M303+Settings!$C$15,0)))</f>
        <v/>
      </c>
      <c r="Q303" s="15">
        <f>IF($A303="","",IF(AND($B303="Etsy",$I303="Y"),MIN(Settings!$C$12*($M303+IF(Settings!$C$54="Y",0,$H303)),Settings!$C$25),0))</f>
        <v/>
      </c>
      <c r="R303" s="15">
        <f>IF($A303="","",IF(AND($B303="Etsy",$J303="Y",$L303="Y",$M303&gt;0),($O303+Settings!$C$21*$M303*(1+Settings!$C$55)+IF(Settings!$C$59="Y",$Q303,0))*$T303/$M303+IF(AND(Settings!$C$58="Y",$T303&gt;=$M303),Settings!$C$22,0),0))</f>
        <v/>
      </c>
      <c r="S303" s="15">
        <f>IF($A303="","",$N303+$O303+$P303+$Q303-$R303)</f>
        <v/>
      </c>
      <c r="T303" s="15">
        <f>IF($A303="","",IF($J303="Y",IF($K303="",$M303,MIN($K303,$M303)),0))</f>
        <v/>
      </c>
      <c r="U303" s="15">
        <f>IF($A303="","",IF($D303="",1,$D303)*IFERROR(INDEX(Products!$F$5:$F$54,MATCH($C303,Products!$A$5:$A$54,0)),0))</f>
        <v/>
      </c>
      <c r="V303" s="27">
        <f>IF($A303="","",$M303-$T303-$S303-$U303-$G303)</f>
        <v/>
      </c>
      <c r="W303" s="31">
        <f>IF($A303="","",IF($M303-$T303&gt;0,$V303/($M303-$T303),""))</f>
        <v/>
      </c>
      <c r="X303" s="35">
        <f>IF($A303="","",DATE(YEAR($A303),MONTH($A303),1))</f>
        <v/>
      </c>
    </row>
    <row r="304">
      <c r="A304" s="18" t="n"/>
      <c r="B304" s="13" t="n"/>
      <c r="C304" s="13" t="n"/>
      <c r="D304" s="26" t="n"/>
      <c r="E304" s="12" t="n"/>
      <c r="F304" s="12" t="n"/>
      <c r="G304" s="12" t="n"/>
      <c r="H304" s="12" t="n"/>
      <c r="I304" s="13" t="n"/>
      <c r="J304" s="13" t="n"/>
      <c r="K304" s="12" t="n"/>
      <c r="L304" s="13" t="n"/>
      <c r="M304" s="15">
        <f>IF($A304="","",IF($D304="",1,$D304)*$E304+$F304-$H304)</f>
        <v/>
      </c>
      <c r="N304" s="15">
        <f>IF($A304="","",IF($B304="Etsy",IF($D304="",1,$D304)*Settings!$C$19,0))</f>
        <v/>
      </c>
      <c r="O304" s="15">
        <f>IF($A304="","",IF($B304="Etsy",Settings!$C$20*($M304+IF(Settings!$C$54="Y",0,$H304)),0))</f>
        <v/>
      </c>
      <c r="P304" s="15">
        <f>IF($A304="","",IF($B304="Etsy",Settings!$C$21*$M304*(1+Settings!$C$55)+Settings!$C$22,IF($B304="Shopify",Settings!$C$14*$M304+Settings!$C$15,0)))</f>
        <v/>
      </c>
      <c r="Q304" s="15">
        <f>IF($A304="","",IF(AND($B304="Etsy",$I304="Y"),MIN(Settings!$C$12*($M304+IF(Settings!$C$54="Y",0,$H304)),Settings!$C$25),0))</f>
        <v/>
      </c>
      <c r="R304" s="15">
        <f>IF($A304="","",IF(AND($B304="Etsy",$J304="Y",$L304="Y",$M304&gt;0),($O304+Settings!$C$21*$M304*(1+Settings!$C$55)+IF(Settings!$C$59="Y",$Q304,0))*$T304/$M304+IF(AND(Settings!$C$58="Y",$T304&gt;=$M304),Settings!$C$22,0),0))</f>
        <v/>
      </c>
      <c r="S304" s="15">
        <f>IF($A304="","",$N304+$O304+$P304+$Q304-$R304)</f>
        <v/>
      </c>
      <c r="T304" s="15">
        <f>IF($A304="","",IF($J304="Y",IF($K304="",$M304,MIN($K304,$M304)),0))</f>
        <v/>
      </c>
      <c r="U304" s="15">
        <f>IF($A304="","",IF($D304="",1,$D304)*IFERROR(INDEX(Products!$F$5:$F$54,MATCH($C304,Products!$A$5:$A$54,0)),0))</f>
        <v/>
      </c>
      <c r="V304" s="27">
        <f>IF($A304="","",$M304-$T304-$S304-$U304-$G304)</f>
        <v/>
      </c>
      <c r="W304" s="31">
        <f>IF($A304="","",IF($M304-$T304&gt;0,$V304/($M304-$T304),""))</f>
        <v/>
      </c>
      <c r="X304" s="35">
        <f>IF($A304="","",DATE(YEAR($A304),MONTH($A304),1))</f>
        <v/>
      </c>
    </row>
    <row r="305">
      <c r="A305" s="18" t="n"/>
      <c r="B305" s="13" t="n"/>
      <c r="C305" s="13" t="n"/>
      <c r="D305" s="26" t="n"/>
      <c r="E305" s="12" t="n"/>
      <c r="F305" s="12" t="n"/>
      <c r="G305" s="12" t="n"/>
      <c r="H305" s="12" t="n"/>
      <c r="I305" s="13" t="n"/>
      <c r="J305" s="13" t="n"/>
      <c r="K305" s="12" t="n"/>
      <c r="L305" s="13" t="n"/>
      <c r="M305" s="15">
        <f>IF($A305="","",IF($D305="",1,$D305)*$E305+$F305-$H305)</f>
        <v/>
      </c>
      <c r="N305" s="15">
        <f>IF($A305="","",IF($B305="Etsy",IF($D305="",1,$D305)*Settings!$C$19,0))</f>
        <v/>
      </c>
      <c r="O305" s="15">
        <f>IF($A305="","",IF($B305="Etsy",Settings!$C$20*($M305+IF(Settings!$C$54="Y",0,$H305)),0))</f>
        <v/>
      </c>
      <c r="P305" s="15">
        <f>IF($A305="","",IF($B305="Etsy",Settings!$C$21*$M305*(1+Settings!$C$55)+Settings!$C$22,IF($B305="Shopify",Settings!$C$14*$M305+Settings!$C$15,0)))</f>
        <v/>
      </c>
      <c r="Q305" s="15">
        <f>IF($A305="","",IF(AND($B305="Etsy",$I305="Y"),MIN(Settings!$C$12*($M305+IF(Settings!$C$54="Y",0,$H305)),Settings!$C$25),0))</f>
        <v/>
      </c>
      <c r="R305" s="15">
        <f>IF($A305="","",IF(AND($B305="Etsy",$J305="Y",$L305="Y",$M305&gt;0),($O305+Settings!$C$21*$M305*(1+Settings!$C$55)+IF(Settings!$C$59="Y",$Q305,0))*$T305/$M305+IF(AND(Settings!$C$58="Y",$T305&gt;=$M305),Settings!$C$22,0),0))</f>
        <v/>
      </c>
      <c r="S305" s="15">
        <f>IF($A305="","",$N305+$O305+$P305+$Q305-$R305)</f>
        <v/>
      </c>
      <c r="T305" s="15">
        <f>IF($A305="","",IF($J305="Y",IF($K305="",$M305,MIN($K305,$M305)),0))</f>
        <v/>
      </c>
      <c r="U305" s="15">
        <f>IF($A305="","",IF($D305="",1,$D305)*IFERROR(INDEX(Products!$F$5:$F$54,MATCH($C305,Products!$A$5:$A$54,0)),0))</f>
        <v/>
      </c>
      <c r="V305" s="27">
        <f>IF($A305="","",$M305-$T305-$S305-$U305-$G305)</f>
        <v/>
      </c>
      <c r="W305" s="31">
        <f>IF($A305="","",IF($M305-$T305&gt;0,$V305/($M305-$T305),""))</f>
        <v/>
      </c>
      <c r="X305" s="35">
        <f>IF($A305="","",DATE(YEAR($A305),MONTH($A305),1))</f>
        <v/>
      </c>
    </row>
    <row r="306">
      <c r="A306" s="18" t="n"/>
      <c r="B306" s="13" t="n"/>
      <c r="C306" s="13" t="n"/>
      <c r="D306" s="26" t="n"/>
      <c r="E306" s="12" t="n"/>
      <c r="F306" s="12" t="n"/>
      <c r="G306" s="12" t="n"/>
      <c r="H306" s="12" t="n"/>
      <c r="I306" s="13" t="n"/>
      <c r="J306" s="13" t="n"/>
      <c r="K306" s="12" t="n"/>
      <c r="L306" s="13" t="n"/>
      <c r="M306" s="15">
        <f>IF($A306="","",IF($D306="",1,$D306)*$E306+$F306-$H306)</f>
        <v/>
      </c>
      <c r="N306" s="15">
        <f>IF($A306="","",IF($B306="Etsy",IF($D306="",1,$D306)*Settings!$C$19,0))</f>
        <v/>
      </c>
      <c r="O306" s="15">
        <f>IF($A306="","",IF($B306="Etsy",Settings!$C$20*($M306+IF(Settings!$C$54="Y",0,$H306)),0))</f>
        <v/>
      </c>
      <c r="P306" s="15">
        <f>IF($A306="","",IF($B306="Etsy",Settings!$C$21*$M306*(1+Settings!$C$55)+Settings!$C$22,IF($B306="Shopify",Settings!$C$14*$M306+Settings!$C$15,0)))</f>
        <v/>
      </c>
      <c r="Q306" s="15">
        <f>IF($A306="","",IF(AND($B306="Etsy",$I306="Y"),MIN(Settings!$C$12*($M306+IF(Settings!$C$54="Y",0,$H306)),Settings!$C$25),0))</f>
        <v/>
      </c>
      <c r="R306" s="15">
        <f>IF($A306="","",IF(AND($B306="Etsy",$J306="Y",$L306="Y",$M306&gt;0),($O306+Settings!$C$21*$M306*(1+Settings!$C$55)+IF(Settings!$C$59="Y",$Q306,0))*$T306/$M306+IF(AND(Settings!$C$58="Y",$T306&gt;=$M306),Settings!$C$22,0),0))</f>
        <v/>
      </c>
      <c r="S306" s="15">
        <f>IF($A306="","",$N306+$O306+$P306+$Q306-$R306)</f>
        <v/>
      </c>
      <c r="T306" s="15">
        <f>IF($A306="","",IF($J306="Y",IF($K306="",$M306,MIN($K306,$M306)),0))</f>
        <v/>
      </c>
      <c r="U306" s="15">
        <f>IF($A306="","",IF($D306="",1,$D306)*IFERROR(INDEX(Products!$F$5:$F$54,MATCH($C306,Products!$A$5:$A$54,0)),0))</f>
        <v/>
      </c>
      <c r="V306" s="27">
        <f>IF($A306="","",$M306-$T306-$S306-$U306-$G306)</f>
        <v/>
      </c>
      <c r="W306" s="31">
        <f>IF($A306="","",IF($M306-$T306&gt;0,$V306/($M306-$T306),""))</f>
        <v/>
      </c>
      <c r="X306" s="35">
        <f>IF($A306="","",DATE(YEAR($A306),MONTH($A306),1))</f>
        <v/>
      </c>
    </row>
    <row r="307">
      <c r="A307" s="18" t="n"/>
      <c r="B307" s="13" t="n"/>
      <c r="C307" s="13" t="n"/>
      <c r="D307" s="26" t="n"/>
      <c r="E307" s="12" t="n"/>
      <c r="F307" s="12" t="n"/>
      <c r="G307" s="12" t="n"/>
      <c r="H307" s="12" t="n"/>
      <c r="I307" s="13" t="n"/>
      <c r="J307" s="13" t="n"/>
      <c r="K307" s="12" t="n"/>
      <c r="L307" s="13" t="n"/>
      <c r="M307" s="15">
        <f>IF($A307="","",IF($D307="",1,$D307)*$E307+$F307-$H307)</f>
        <v/>
      </c>
      <c r="N307" s="15">
        <f>IF($A307="","",IF($B307="Etsy",IF($D307="",1,$D307)*Settings!$C$19,0))</f>
        <v/>
      </c>
      <c r="O307" s="15">
        <f>IF($A307="","",IF($B307="Etsy",Settings!$C$20*($M307+IF(Settings!$C$54="Y",0,$H307)),0))</f>
        <v/>
      </c>
      <c r="P307" s="15">
        <f>IF($A307="","",IF($B307="Etsy",Settings!$C$21*$M307*(1+Settings!$C$55)+Settings!$C$22,IF($B307="Shopify",Settings!$C$14*$M307+Settings!$C$15,0)))</f>
        <v/>
      </c>
      <c r="Q307" s="15">
        <f>IF($A307="","",IF(AND($B307="Etsy",$I307="Y"),MIN(Settings!$C$12*($M307+IF(Settings!$C$54="Y",0,$H307)),Settings!$C$25),0))</f>
        <v/>
      </c>
      <c r="R307" s="15">
        <f>IF($A307="","",IF(AND($B307="Etsy",$J307="Y",$L307="Y",$M307&gt;0),($O307+Settings!$C$21*$M307*(1+Settings!$C$55)+IF(Settings!$C$59="Y",$Q307,0))*$T307/$M307+IF(AND(Settings!$C$58="Y",$T307&gt;=$M307),Settings!$C$22,0),0))</f>
        <v/>
      </c>
      <c r="S307" s="15">
        <f>IF($A307="","",$N307+$O307+$P307+$Q307-$R307)</f>
        <v/>
      </c>
      <c r="T307" s="15">
        <f>IF($A307="","",IF($J307="Y",IF($K307="",$M307,MIN($K307,$M307)),0))</f>
        <v/>
      </c>
      <c r="U307" s="15">
        <f>IF($A307="","",IF($D307="",1,$D307)*IFERROR(INDEX(Products!$F$5:$F$54,MATCH($C307,Products!$A$5:$A$54,0)),0))</f>
        <v/>
      </c>
      <c r="V307" s="27">
        <f>IF($A307="","",$M307-$T307-$S307-$U307-$G307)</f>
        <v/>
      </c>
      <c r="W307" s="31">
        <f>IF($A307="","",IF($M307-$T307&gt;0,$V307/($M307-$T307),""))</f>
        <v/>
      </c>
      <c r="X307" s="35">
        <f>IF($A307="","",DATE(YEAR($A307),MONTH($A307),1))</f>
        <v/>
      </c>
    </row>
    <row r="308">
      <c r="A308" s="18" t="n"/>
      <c r="B308" s="13" t="n"/>
      <c r="C308" s="13" t="n"/>
      <c r="D308" s="26" t="n"/>
      <c r="E308" s="12" t="n"/>
      <c r="F308" s="12" t="n"/>
      <c r="G308" s="12" t="n"/>
      <c r="H308" s="12" t="n"/>
      <c r="I308" s="13" t="n"/>
      <c r="J308" s="13" t="n"/>
      <c r="K308" s="12" t="n"/>
      <c r="L308" s="13" t="n"/>
      <c r="M308" s="15">
        <f>IF($A308="","",IF($D308="",1,$D308)*$E308+$F308-$H308)</f>
        <v/>
      </c>
      <c r="N308" s="15">
        <f>IF($A308="","",IF($B308="Etsy",IF($D308="",1,$D308)*Settings!$C$19,0))</f>
        <v/>
      </c>
      <c r="O308" s="15">
        <f>IF($A308="","",IF($B308="Etsy",Settings!$C$20*($M308+IF(Settings!$C$54="Y",0,$H308)),0))</f>
        <v/>
      </c>
      <c r="P308" s="15">
        <f>IF($A308="","",IF($B308="Etsy",Settings!$C$21*$M308*(1+Settings!$C$55)+Settings!$C$22,IF($B308="Shopify",Settings!$C$14*$M308+Settings!$C$15,0)))</f>
        <v/>
      </c>
      <c r="Q308" s="15">
        <f>IF($A308="","",IF(AND($B308="Etsy",$I308="Y"),MIN(Settings!$C$12*($M308+IF(Settings!$C$54="Y",0,$H308)),Settings!$C$25),0))</f>
        <v/>
      </c>
      <c r="R308" s="15">
        <f>IF($A308="","",IF(AND($B308="Etsy",$J308="Y",$L308="Y",$M308&gt;0),($O308+Settings!$C$21*$M308*(1+Settings!$C$55)+IF(Settings!$C$59="Y",$Q308,0))*$T308/$M308+IF(AND(Settings!$C$58="Y",$T308&gt;=$M308),Settings!$C$22,0),0))</f>
        <v/>
      </c>
      <c r="S308" s="15">
        <f>IF($A308="","",$N308+$O308+$P308+$Q308-$R308)</f>
        <v/>
      </c>
      <c r="T308" s="15">
        <f>IF($A308="","",IF($J308="Y",IF($K308="",$M308,MIN($K308,$M308)),0))</f>
        <v/>
      </c>
      <c r="U308" s="15">
        <f>IF($A308="","",IF($D308="",1,$D308)*IFERROR(INDEX(Products!$F$5:$F$54,MATCH($C308,Products!$A$5:$A$54,0)),0))</f>
        <v/>
      </c>
      <c r="V308" s="27">
        <f>IF($A308="","",$M308-$T308-$S308-$U308-$G308)</f>
        <v/>
      </c>
      <c r="W308" s="31">
        <f>IF($A308="","",IF($M308-$T308&gt;0,$V308/($M308-$T308),""))</f>
        <v/>
      </c>
      <c r="X308" s="35">
        <f>IF($A308="","",DATE(YEAR($A308),MONTH($A308),1))</f>
        <v/>
      </c>
    </row>
    <row r="309">
      <c r="A309" s="18" t="n"/>
      <c r="B309" s="13" t="n"/>
      <c r="C309" s="13" t="n"/>
      <c r="D309" s="26" t="n"/>
      <c r="E309" s="12" t="n"/>
      <c r="F309" s="12" t="n"/>
      <c r="G309" s="12" t="n"/>
      <c r="H309" s="12" t="n"/>
      <c r="I309" s="13" t="n"/>
      <c r="J309" s="13" t="n"/>
      <c r="K309" s="12" t="n"/>
      <c r="L309" s="13" t="n"/>
      <c r="M309" s="15">
        <f>IF($A309="","",IF($D309="",1,$D309)*$E309+$F309-$H309)</f>
        <v/>
      </c>
      <c r="N309" s="15">
        <f>IF($A309="","",IF($B309="Etsy",IF($D309="",1,$D309)*Settings!$C$19,0))</f>
        <v/>
      </c>
      <c r="O309" s="15">
        <f>IF($A309="","",IF($B309="Etsy",Settings!$C$20*($M309+IF(Settings!$C$54="Y",0,$H309)),0))</f>
        <v/>
      </c>
      <c r="P309" s="15">
        <f>IF($A309="","",IF($B309="Etsy",Settings!$C$21*$M309*(1+Settings!$C$55)+Settings!$C$22,IF($B309="Shopify",Settings!$C$14*$M309+Settings!$C$15,0)))</f>
        <v/>
      </c>
      <c r="Q309" s="15">
        <f>IF($A309="","",IF(AND($B309="Etsy",$I309="Y"),MIN(Settings!$C$12*($M309+IF(Settings!$C$54="Y",0,$H309)),Settings!$C$25),0))</f>
        <v/>
      </c>
      <c r="R309" s="15">
        <f>IF($A309="","",IF(AND($B309="Etsy",$J309="Y",$L309="Y",$M309&gt;0),($O309+Settings!$C$21*$M309*(1+Settings!$C$55)+IF(Settings!$C$59="Y",$Q309,0))*$T309/$M309+IF(AND(Settings!$C$58="Y",$T309&gt;=$M309),Settings!$C$22,0),0))</f>
        <v/>
      </c>
      <c r="S309" s="15">
        <f>IF($A309="","",$N309+$O309+$P309+$Q309-$R309)</f>
        <v/>
      </c>
      <c r="T309" s="15">
        <f>IF($A309="","",IF($J309="Y",IF($K309="",$M309,MIN($K309,$M309)),0))</f>
        <v/>
      </c>
      <c r="U309" s="15">
        <f>IF($A309="","",IF($D309="",1,$D309)*IFERROR(INDEX(Products!$F$5:$F$54,MATCH($C309,Products!$A$5:$A$54,0)),0))</f>
        <v/>
      </c>
      <c r="V309" s="27">
        <f>IF($A309="","",$M309-$T309-$S309-$U309-$G309)</f>
        <v/>
      </c>
      <c r="W309" s="31">
        <f>IF($A309="","",IF($M309-$T309&gt;0,$V309/($M309-$T309),""))</f>
        <v/>
      </c>
      <c r="X309" s="35">
        <f>IF($A309="","",DATE(YEAR($A309),MONTH($A309),1))</f>
        <v/>
      </c>
    </row>
    <row r="310">
      <c r="A310" s="18" t="n"/>
      <c r="B310" s="13" t="n"/>
      <c r="C310" s="13" t="n"/>
      <c r="D310" s="26" t="n"/>
      <c r="E310" s="12" t="n"/>
      <c r="F310" s="12" t="n"/>
      <c r="G310" s="12" t="n"/>
      <c r="H310" s="12" t="n"/>
      <c r="I310" s="13" t="n"/>
      <c r="J310" s="13" t="n"/>
      <c r="K310" s="12" t="n"/>
      <c r="L310" s="13" t="n"/>
      <c r="M310" s="15">
        <f>IF($A310="","",IF($D310="",1,$D310)*$E310+$F310-$H310)</f>
        <v/>
      </c>
      <c r="N310" s="15">
        <f>IF($A310="","",IF($B310="Etsy",IF($D310="",1,$D310)*Settings!$C$19,0))</f>
        <v/>
      </c>
      <c r="O310" s="15">
        <f>IF($A310="","",IF($B310="Etsy",Settings!$C$20*($M310+IF(Settings!$C$54="Y",0,$H310)),0))</f>
        <v/>
      </c>
      <c r="P310" s="15">
        <f>IF($A310="","",IF($B310="Etsy",Settings!$C$21*$M310*(1+Settings!$C$55)+Settings!$C$22,IF($B310="Shopify",Settings!$C$14*$M310+Settings!$C$15,0)))</f>
        <v/>
      </c>
      <c r="Q310" s="15">
        <f>IF($A310="","",IF(AND($B310="Etsy",$I310="Y"),MIN(Settings!$C$12*($M310+IF(Settings!$C$54="Y",0,$H310)),Settings!$C$25),0))</f>
        <v/>
      </c>
      <c r="R310" s="15">
        <f>IF($A310="","",IF(AND($B310="Etsy",$J310="Y",$L310="Y",$M310&gt;0),($O310+Settings!$C$21*$M310*(1+Settings!$C$55)+IF(Settings!$C$59="Y",$Q310,0))*$T310/$M310+IF(AND(Settings!$C$58="Y",$T310&gt;=$M310),Settings!$C$22,0),0))</f>
        <v/>
      </c>
      <c r="S310" s="15">
        <f>IF($A310="","",$N310+$O310+$P310+$Q310-$R310)</f>
        <v/>
      </c>
      <c r="T310" s="15">
        <f>IF($A310="","",IF($J310="Y",IF($K310="",$M310,MIN($K310,$M310)),0))</f>
        <v/>
      </c>
      <c r="U310" s="15">
        <f>IF($A310="","",IF($D310="",1,$D310)*IFERROR(INDEX(Products!$F$5:$F$54,MATCH($C310,Products!$A$5:$A$54,0)),0))</f>
        <v/>
      </c>
      <c r="V310" s="27">
        <f>IF($A310="","",$M310-$T310-$S310-$U310-$G310)</f>
        <v/>
      </c>
      <c r="W310" s="31">
        <f>IF($A310="","",IF($M310-$T310&gt;0,$V310/($M310-$T310),""))</f>
        <v/>
      </c>
      <c r="X310" s="35">
        <f>IF($A310="","",DATE(YEAR($A310),MONTH($A310),1))</f>
        <v/>
      </c>
    </row>
    <row r="311">
      <c r="A311" s="18" t="n"/>
      <c r="B311" s="13" t="n"/>
      <c r="C311" s="13" t="n"/>
      <c r="D311" s="26" t="n"/>
      <c r="E311" s="12" t="n"/>
      <c r="F311" s="12" t="n"/>
      <c r="G311" s="12" t="n"/>
      <c r="H311" s="12" t="n"/>
      <c r="I311" s="13" t="n"/>
      <c r="J311" s="13" t="n"/>
      <c r="K311" s="12" t="n"/>
      <c r="L311" s="13" t="n"/>
      <c r="M311" s="15">
        <f>IF($A311="","",IF($D311="",1,$D311)*$E311+$F311-$H311)</f>
        <v/>
      </c>
      <c r="N311" s="15">
        <f>IF($A311="","",IF($B311="Etsy",IF($D311="",1,$D311)*Settings!$C$19,0))</f>
        <v/>
      </c>
      <c r="O311" s="15">
        <f>IF($A311="","",IF($B311="Etsy",Settings!$C$20*($M311+IF(Settings!$C$54="Y",0,$H311)),0))</f>
        <v/>
      </c>
      <c r="P311" s="15">
        <f>IF($A311="","",IF($B311="Etsy",Settings!$C$21*$M311*(1+Settings!$C$55)+Settings!$C$22,IF($B311="Shopify",Settings!$C$14*$M311+Settings!$C$15,0)))</f>
        <v/>
      </c>
      <c r="Q311" s="15">
        <f>IF($A311="","",IF(AND($B311="Etsy",$I311="Y"),MIN(Settings!$C$12*($M311+IF(Settings!$C$54="Y",0,$H311)),Settings!$C$25),0))</f>
        <v/>
      </c>
      <c r="R311" s="15">
        <f>IF($A311="","",IF(AND($B311="Etsy",$J311="Y",$L311="Y",$M311&gt;0),($O311+Settings!$C$21*$M311*(1+Settings!$C$55)+IF(Settings!$C$59="Y",$Q311,0))*$T311/$M311+IF(AND(Settings!$C$58="Y",$T311&gt;=$M311),Settings!$C$22,0),0))</f>
        <v/>
      </c>
      <c r="S311" s="15">
        <f>IF($A311="","",$N311+$O311+$P311+$Q311-$R311)</f>
        <v/>
      </c>
      <c r="T311" s="15">
        <f>IF($A311="","",IF($J311="Y",IF($K311="",$M311,MIN($K311,$M311)),0))</f>
        <v/>
      </c>
      <c r="U311" s="15">
        <f>IF($A311="","",IF($D311="",1,$D311)*IFERROR(INDEX(Products!$F$5:$F$54,MATCH($C311,Products!$A$5:$A$54,0)),0))</f>
        <v/>
      </c>
      <c r="V311" s="27">
        <f>IF($A311="","",$M311-$T311-$S311-$U311-$G311)</f>
        <v/>
      </c>
      <c r="W311" s="31">
        <f>IF($A311="","",IF($M311-$T311&gt;0,$V311/($M311-$T311),""))</f>
        <v/>
      </c>
      <c r="X311" s="35">
        <f>IF($A311="","",DATE(YEAR($A311),MONTH($A311),1))</f>
        <v/>
      </c>
    </row>
    <row r="312">
      <c r="A312" s="18" t="n"/>
      <c r="B312" s="13" t="n"/>
      <c r="C312" s="13" t="n"/>
      <c r="D312" s="26" t="n"/>
      <c r="E312" s="12" t="n"/>
      <c r="F312" s="12" t="n"/>
      <c r="G312" s="12" t="n"/>
      <c r="H312" s="12" t="n"/>
      <c r="I312" s="13" t="n"/>
      <c r="J312" s="13" t="n"/>
      <c r="K312" s="12" t="n"/>
      <c r="L312" s="13" t="n"/>
      <c r="M312" s="15">
        <f>IF($A312="","",IF($D312="",1,$D312)*$E312+$F312-$H312)</f>
        <v/>
      </c>
      <c r="N312" s="15">
        <f>IF($A312="","",IF($B312="Etsy",IF($D312="",1,$D312)*Settings!$C$19,0))</f>
        <v/>
      </c>
      <c r="O312" s="15">
        <f>IF($A312="","",IF($B312="Etsy",Settings!$C$20*($M312+IF(Settings!$C$54="Y",0,$H312)),0))</f>
        <v/>
      </c>
      <c r="P312" s="15">
        <f>IF($A312="","",IF($B312="Etsy",Settings!$C$21*$M312*(1+Settings!$C$55)+Settings!$C$22,IF($B312="Shopify",Settings!$C$14*$M312+Settings!$C$15,0)))</f>
        <v/>
      </c>
      <c r="Q312" s="15">
        <f>IF($A312="","",IF(AND($B312="Etsy",$I312="Y"),MIN(Settings!$C$12*($M312+IF(Settings!$C$54="Y",0,$H312)),Settings!$C$25),0))</f>
        <v/>
      </c>
      <c r="R312" s="15">
        <f>IF($A312="","",IF(AND($B312="Etsy",$J312="Y",$L312="Y",$M312&gt;0),($O312+Settings!$C$21*$M312*(1+Settings!$C$55)+IF(Settings!$C$59="Y",$Q312,0))*$T312/$M312+IF(AND(Settings!$C$58="Y",$T312&gt;=$M312),Settings!$C$22,0),0))</f>
        <v/>
      </c>
      <c r="S312" s="15">
        <f>IF($A312="","",$N312+$O312+$P312+$Q312-$R312)</f>
        <v/>
      </c>
      <c r="T312" s="15">
        <f>IF($A312="","",IF($J312="Y",IF($K312="",$M312,MIN($K312,$M312)),0))</f>
        <v/>
      </c>
      <c r="U312" s="15">
        <f>IF($A312="","",IF($D312="",1,$D312)*IFERROR(INDEX(Products!$F$5:$F$54,MATCH($C312,Products!$A$5:$A$54,0)),0))</f>
        <v/>
      </c>
      <c r="V312" s="27">
        <f>IF($A312="","",$M312-$T312-$S312-$U312-$G312)</f>
        <v/>
      </c>
      <c r="W312" s="31">
        <f>IF($A312="","",IF($M312-$T312&gt;0,$V312/($M312-$T312),""))</f>
        <v/>
      </c>
      <c r="X312" s="35">
        <f>IF($A312="","",DATE(YEAR($A312),MONTH($A312),1))</f>
        <v/>
      </c>
    </row>
    <row r="313">
      <c r="A313" s="18" t="n"/>
      <c r="B313" s="13" t="n"/>
      <c r="C313" s="13" t="n"/>
      <c r="D313" s="26" t="n"/>
      <c r="E313" s="12" t="n"/>
      <c r="F313" s="12" t="n"/>
      <c r="G313" s="12" t="n"/>
      <c r="H313" s="12" t="n"/>
      <c r="I313" s="13" t="n"/>
      <c r="J313" s="13" t="n"/>
      <c r="K313" s="12" t="n"/>
      <c r="L313" s="13" t="n"/>
      <c r="M313" s="15">
        <f>IF($A313="","",IF($D313="",1,$D313)*$E313+$F313-$H313)</f>
        <v/>
      </c>
      <c r="N313" s="15">
        <f>IF($A313="","",IF($B313="Etsy",IF($D313="",1,$D313)*Settings!$C$19,0))</f>
        <v/>
      </c>
      <c r="O313" s="15">
        <f>IF($A313="","",IF($B313="Etsy",Settings!$C$20*($M313+IF(Settings!$C$54="Y",0,$H313)),0))</f>
        <v/>
      </c>
      <c r="P313" s="15">
        <f>IF($A313="","",IF($B313="Etsy",Settings!$C$21*$M313*(1+Settings!$C$55)+Settings!$C$22,IF($B313="Shopify",Settings!$C$14*$M313+Settings!$C$15,0)))</f>
        <v/>
      </c>
      <c r="Q313" s="15">
        <f>IF($A313="","",IF(AND($B313="Etsy",$I313="Y"),MIN(Settings!$C$12*($M313+IF(Settings!$C$54="Y",0,$H313)),Settings!$C$25),0))</f>
        <v/>
      </c>
      <c r="R313" s="15">
        <f>IF($A313="","",IF(AND($B313="Etsy",$J313="Y",$L313="Y",$M313&gt;0),($O313+Settings!$C$21*$M313*(1+Settings!$C$55)+IF(Settings!$C$59="Y",$Q313,0))*$T313/$M313+IF(AND(Settings!$C$58="Y",$T313&gt;=$M313),Settings!$C$22,0),0))</f>
        <v/>
      </c>
      <c r="S313" s="15">
        <f>IF($A313="","",$N313+$O313+$P313+$Q313-$R313)</f>
        <v/>
      </c>
      <c r="T313" s="15">
        <f>IF($A313="","",IF($J313="Y",IF($K313="",$M313,MIN($K313,$M313)),0))</f>
        <v/>
      </c>
      <c r="U313" s="15">
        <f>IF($A313="","",IF($D313="",1,$D313)*IFERROR(INDEX(Products!$F$5:$F$54,MATCH($C313,Products!$A$5:$A$54,0)),0))</f>
        <v/>
      </c>
      <c r="V313" s="27">
        <f>IF($A313="","",$M313-$T313-$S313-$U313-$G313)</f>
        <v/>
      </c>
      <c r="W313" s="31">
        <f>IF($A313="","",IF($M313-$T313&gt;0,$V313/($M313-$T313),""))</f>
        <v/>
      </c>
      <c r="X313" s="35">
        <f>IF($A313="","",DATE(YEAR($A313),MONTH($A313),1))</f>
        <v/>
      </c>
    </row>
    <row r="314">
      <c r="A314" s="18" t="n"/>
      <c r="B314" s="13" t="n"/>
      <c r="C314" s="13" t="n"/>
      <c r="D314" s="26" t="n"/>
      <c r="E314" s="12" t="n"/>
      <c r="F314" s="12" t="n"/>
      <c r="G314" s="12" t="n"/>
      <c r="H314" s="12" t="n"/>
      <c r="I314" s="13" t="n"/>
      <c r="J314" s="13" t="n"/>
      <c r="K314" s="12" t="n"/>
      <c r="L314" s="13" t="n"/>
      <c r="M314" s="15">
        <f>IF($A314="","",IF($D314="",1,$D314)*$E314+$F314-$H314)</f>
        <v/>
      </c>
      <c r="N314" s="15">
        <f>IF($A314="","",IF($B314="Etsy",IF($D314="",1,$D314)*Settings!$C$19,0))</f>
        <v/>
      </c>
      <c r="O314" s="15">
        <f>IF($A314="","",IF($B314="Etsy",Settings!$C$20*($M314+IF(Settings!$C$54="Y",0,$H314)),0))</f>
        <v/>
      </c>
      <c r="P314" s="15">
        <f>IF($A314="","",IF($B314="Etsy",Settings!$C$21*$M314*(1+Settings!$C$55)+Settings!$C$22,IF($B314="Shopify",Settings!$C$14*$M314+Settings!$C$15,0)))</f>
        <v/>
      </c>
      <c r="Q314" s="15">
        <f>IF($A314="","",IF(AND($B314="Etsy",$I314="Y"),MIN(Settings!$C$12*($M314+IF(Settings!$C$54="Y",0,$H314)),Settings!$C$25),0))</f>
        <v/>
      </c>
      <c r="R314" s="15">
        <f>IF($A314="","",IF(AND($B314="Etsy",$J314="Y",$L314="Y",$M314&gt;0),($O314+Settings!$C$21*$M314*(1+Settings!$C$55)+IF(Settings!$C$59="Y",$Q314,0))*$T314/$M314+IF(AND(Settings!$C$58="Y",$T314&gt;=$M314),Settings!$C$22,0),0))</f>
        <v/>
      </c>
      <c r="S314" s="15">
        <f>IF($A314="","",$N314+$O314+$P314+$Q314-$R314)</f>
        <v/>
      </c>
      <c r="T314" s="15">
        <f>IF($A314="","",IF($J314="Y",IF($K314="",$M314,MIN($K314,$M314)),0))</f>
        <v/>
      </c>
      <c r="U314" s="15">
        <f>IF($A314="","",IF($D314="",1,$D314)*IFERROR(INDEX(Products!$F$5:$F$54,MATCH($C314,Products!$A$5:$A$54,0)),0))</f>
        <v/>
      </c>
      <c r="V314" s="27">
        <f>IF($A314="","",$M314-$T314-$S314-$U314-$G314)</f>
        <v/>
      </c>
      <c r="W314" s="31">
        <f>IF($A314="","",IF($M314-$T314&gt;0,$V314/($M314-$T314),""))</f>
        <v/>
      </c>
      <c r="X314" s="35">
        <f>IF($A314="","",DATE(YEAR($A314),MONTH($A314),1))</f>
        <v/>
      </c>
    </row>
    <row r="315">
      <c r="A315" s="18" t="n"/>
      <c r="B315" s="13" t="n"/>
      <c r="C315" s="13" t="n"/>
      <c r="D315" s="26" t="n"/>
      <c r="E315" s="12" t="n"/>
      <c r="F315" s="12" t="n"/>
      <c r="G315" s="12" t="n"/>
      <c r="H315" s="12" t="n"/>
      <c r="I315" s="13" t="n"/>
      <c r="J315" s="13" t="n"/>
      <c r="K315" s="12" t="n"/>
      <c r="L315" s="13" t="n"/>
      <c r="M315" s="15">
        <f>IF($A315="","",IF($D315="",1,$D315)*$E315+$F315-$H315)</f>
        <v/>
      </c>
      <c r="N315" s="15">
        <f>IF($A315="","",IF($B315="Etsy",IF($D315="",1,$D315)*Settings!$C$19,0))</f>
        <v/>
      </c>
      <c r="O315" s="15">
        <f>IF($A315="","",IF($B315="Etsy",Settings!$C$20*($M315+IF(Settings!$C$54="Y",0,$H315)),0))</f>
        <v/>
      </c>
      <c r="P315" s="15">
        <f>IF($A315="","",IF($B315="Etsy",Settings!$C$21*$M315*(1+Settings!$C$55)+Settings!$C$22,IF($B315="Shopify",Settings!$C$14*$M315+Settings!$C$15,0)))</f>
        <v/>
      </c>
      <c r="Q315" s="15">
        <f>IF($A315="","",IF(AND($B315="Etsy",$I315="Y"),MIN(Settings!$C$12*($M315+IF(Settings!$C$54="Y",0,$H315)),Settings!$C$25),0))</f>
        <v/>
      </c>
      <c r="R315" s="15">
        <f>IF($A315="","",IF(AND($B315="Etsy",$J315="Y",$L315="Y",$M315&gt;0),($O315+Settings!$C$21*$M315*(1+Settings!$C$55)+IF(Settings!$C$59="Y",$Q315,0))*$T315/$M315+IF(AND(Settings!$C$58="Y",$T315&gt;=$M315),Settings!$C$22,0),0))</f>
        <v/>
      </c>
      <c r="S315" s="15">
        <f>IF($A315="","",$N315+$O315+$P315+$Q315-$R315)</f>
        <v/>
      </c>
      <c r="T315" s="15">
        <f>IF($A315="","",IF($J315="Y",IF($K315="",$M315,MIN($K315,$M315)),0))</f>
        <v/>
      </c>
      <c r="U315" s="15">
        <f>IF($A315="","",IF($D315="",1,$D315)*IFERROR(INDEX(Products!$F$5:$F$54,MATCH($C315,Products!$A$5:$A$54,0)),0))</f>
        <v/>
      </c>
      <c r="V315" s="27">
        <f>IF($A315="","",$M315-$T315-$S315-$U315-$G315)</f>
        <v/>
      </c>
      <c r="W315" s="31">
        <f>IF($A315="","",IF($M315-$T315&gt;0,$V315/($M315-$T315),""))</f>
        <v/>
      </c>
      <c r="X315" s="35">
        <f>IF($A315="","",DATE(YEAR($A315),MONTH($A315),1))</f>
        <v/>
      </c>
    </row>
    <row r="316">
      <c r="A316" s="18" t="n"/>
      <c r="B316" s="13" t="n"/>
      <c r="C316" s="13" t="n"/>
      <c r="D316" s="26" t="n"/>
      <c r="E316" s="12" t="n"/>
      <c r="F316" s="12" t="n"/>
      <c r="G316" s="12" t="n"/>
      <c r="H316" s="12" t="n"/>
      <c r="I316" s="13" t="n"/>
      <c r="J316" s="13" t="n"/>
      <c r="K316" s="12" t="n"/>
      <c r="L316" s="13" t="n"/>
      <c r="M316" s="15">
        <f>IF($A316="","",IF($D316="",1,$D316)*$E316+$F316-$H316)</f>
        <v/>
      </c>
      <c r="N316" s="15">
        <f>IF($A316="","",IF($B316="Etsy",IF($D316="",1,$D316)*Settings!$C$19,0))</f>
        <v/>
      </c>
      <c r="O316" s="15">
        <f>IF($A316="","",IF($B316="Etsy",Settings!$C$20*($M316+IF(Settings!$C$54="Y",0,$H316)),0))</f>
        <v/>
      </c>
      <c r="P316" s="15">
        <f>IF($A316="","",IF($B316="Etsy",Settings!$C$21*$M316*(1+Settings!$C$55)+Settings!$C$22,IF($B316="Shopify",Settings!$C$14*$M316+Settings!$C$15,0)))</f>
        <v/>
      </c>
      <c r="Q316" s="15">
        <f>IF($A316="","",IF(AND($B316="Etsy",$I316="Y"),MIN(Settings!$C$12*($M316+IF(Settings!$C$54="Y",0,$H316)),Settings!$C$25),0))</f>
        <v/>
      </c>
      <c r="R316" s="15">
        <f>IF($A316="","",IF(AND($B316="Etsy",$J316="Y",$L316="Y",$M316&gt;0),($O316+Settings!$C$21*$M316*(1+Settings!$C$55)+IF(Settings!$C$59="Y",$Q316,0))*$T316/$M316+IF(AND(Settings!$C$58="Y",$T316&gt;=$M316),Settings!$C$22,0),0))</f>
        <v/>
      </c>
      <c r="S316" s="15">
        <f>IF($A316="","",$N316+$O316+$P316+$Q316-$R316)</f>
        <v/>
      </c>
      <c r="T316" s="15">
        <f>IF($A316="","",IF($J316="Y",IF($K316="",$M316,MIN($K316,$M316)),0))</f>
        <v/>
      </c>
      <c r="U316" s="15">
        <f>IF($A316="","",IF($D316="",1,$D316)*IFERROR(INDEX(Products!$F$5:$F$54,MATCH($C316,Products!$A$5:$A$54,0)),0))</f>
        <v/>
      </c>
      <c r="V316" s="27">
        <f>IF($A316="","",$M316-$T316-$S316-$U316-$G316)</f>
        <v/>
      </c>
      <c r="W316" s="31">
        <f>IF($A316="","",IF($M316-$T316&gt;0,$V316/($M316-$T316),""))</f>
        <v/>
      </c>
      <c r="X316" s="35">
        <f>IF($A316="","",DATE(YEAR($A316),MONTH($A316),1))</f>
        <v/>
      </c>
    </row>
    <row r="317">
      <c r="A317" s="18" t="n"/>
      <c r="B317" s="13" t="n"/>
      <c r="C317" s="13" t="n"/>
      <c r="D317" s="26" t="n"/>
      <c r="E317" s="12" t="n"/>
      <c r="F317" s="12" t="n"/>
      <c r="G317" s="12" t="n"/>
      <c r="H317" s="12" t="n"/>
      <c r="I317" s="13" t="n"/>
      <c r="J317" s="13" t="n"/>
      <c r="K317" s="12" t="n"/>
      <c r="L317" s="13" t="n"/>
      <c r="M317" s="15">
        <f>IF($A317="","",IF($D317="",1,$D317)*$E317+$F317-$H317)</f>
        <v/>
      </c>
      <c r="N317" s="15">
        <f>IF($A317="","",IF($B317="Etsy",IF($D317="",1,$D317)*Settings!$C$19,0))</f>
        <v/>
      </c>
      <c r="O317" s="15">
        <f>IF($A317="","",IF($B317="Etsy",Settings!$C$20*($M317+IF(Settings!$C$54="Y",0,$H317)),0))</f>
        <v/>
      </c>
      <c r="P317" s="15">
        <f>IF($A317="","",IF($B317="Etsy",Settings!$C$21*$M317*(1+Settings!$C$55)+Settings!$C$22,IF($B317="Shopify",Settings!$C$14*$M317+Settings!$C$15,0)))</f>
        <v/>
      </c>
      <c r="Q317" s="15">
        <f>IF($A317="","",IF(AND($B317="Etsy",$I317="Y"),MIN(Settings!$C$12*($M317+IF(Settings!$C$54="Y",0,$H317)),Settings!$C$25),0))</f>
        <v/>
      </c>
      <c r="R317" s="15">
        <f>IF($A317="","",IF(AND($B317="Etsy",$J317="Y",$L317="Y",$M317&gt;0),($O317+Settings!$C$21*$M317*(1+Settings!$C$55)+IF(Settings!$C$59="Y",$Q317,0))*$T317/$M317+IF(AND(Settings!$C$58="Y",$T317&gt;=$M317),Settings!$C$22,0),0))</f>
        <v/>
      </c>
      <c r="S317" s="15">
        <f>IF($A317="","",$N317+$O317+$P317+$Q317-$R317)</f>
        <v/>
      </c>
      <c r="T317" s="15">
        <f>IF($A317="","",IF($J317="Y",IF($K317="",$M317,MIN($K317,$M317)),0))</f>
        <v/>
      </c>
      <c r="U317" s="15">
        <f>IF($A317="","",IF($D317="",1,$D317)*IFERROR(INDEX(Products!$F$5:$F$54,MATCH($C317,Products!$A$5:$A$54,0)),0))</f>
        <v/>
      </c>
      <c r="V317" s="27">
        <f>IF($A317="","",$M317-$T317-$S317-$U317-$G317)</f>
        <v/>
      </c>
      <c r="W317" s="31">
        <f>IF($A317="","",IF($M317-$T317&gt;0,$V317/($M317-$T317),""))</f>
        <v/>
      </c>
      <c r="X317" s="35">
        <f>IF($A317="","",DATE(YEAR($A317),MONTH($A317),1))</f>
        <v/>
      </c>
    </row>
    <row r="318">
      <c r="A318" s="18" t="n"/>
      <c r="B318" s="13" t="n"/>
      <c r="C318" s="13" t="n"/>
      <c r="D318" s="26" t="n"/>
      <c r="E318" s="12" t="n"/>
      <c r="F318" s="12" t="n"/>
      <c r="G318" s="12" t="n"/>
      <c r="H318" s="12" t="n"/>
      <c r="I318" s="13" t="n"/>
      <c r="J318" s="13" t="n"/>
      <c r="K318" s="12" t="n"/>
      <c r="L318" s="13" t="n"/>
      <c r="M318" s="15">
        <f>IF($A318="","",IF($D318="",1,$D318)*$E318+$F318-$H318)</f>
        <v/>
      </c>
      <c r="N318" s="15">
        <f>IF($A318="","",IF($B318="Etsy",IF($D318="",1,$D318)*Settings!$C$19,0))</f>
        <v/>
      </c>
      <c r="O318" s="15">
        <f>IF($A318="","",IF($B318="Etsy",Settings!$C$20*($M318+IF(Settings!$C$54="Y",0,$H318)),0))</f>
        <v/>
      </c>
      <c r="P318" s="15">
        <f>IF($A318="","",IF($B318="Etsy",Settings!$C$21*$M318*(1+Settings!$C$55)+Settings!$C$22,IF($B318="Shopify",Settings!$C$14*$M318+Settings!$C$15,0)))</f>
        <v/>
      </c>
      <c r="Q318" s="15">
        <f>IF($A318="","",IF(AND($B318="Etsy",$I318="Y"),MIN(Settings!$C$12*($M318+IF(Settings!$C$54="Y",0,$H318)),Settings!$C$25),0))</f>
        <v/>
      </c>
      <c r="R318" s="15">
        <f>IF($A318="","",IF(AND($B318="Etsy",$J318="Y",$L318="Y",$M318&gt;0),($O318+Settings!$C$21*$M318*(1+Settings!$C$55)+IF(Settings!$C$59="Y",$Q318,0))*$T318/$M318+IF(AND(Settings!$C$58="Y",$T318&gt;=$M318),Settings!$C$22,0),0))</f>
        <v/>
      </c>
      <c r="S318" s="15">
        <f>IF($A318="","",$N318+$O318+$P318+$Q318-$R318)</f>
        <v/>
      </c>
      <c r="T318" s="15">
        <f>IF($A318="","",IF($J318="Y",IF($K318="",$M318,MIN($K318,$M318)),0))</f>
        <v/>
      </c>
      <c r="U318" s="15">
        <f>IF($A318="","",IF($D318="",1,$D318)*IFERROR(INDEX(Products!$F$5:$F$54,MATCH($C318,Products!$A$5:$A$54,0)),0))</f>
        <v/>
      </c>
      <c r="V318" s="27">
        <f>IF($A318="","",$M318-$T318-$S318-$U318-$G318)</f>
        <v/>
      </c>
      <c r="W318" s="31">
        <f>IF($A318="","",IF($M318-$T318&gt;0,$V318/($M318-$T318),""))</f>
        <v/>
      </c>
      <c r="X318" s="35">
        <f>IF($A318="","",DATE(YEAR($A318),MONTH($A318),1))</f>
        <v/>
      </c>
    </row>
    <row r="319">
      <c r="A319" s="18" t="n"/>
      <c r="B319" s="13" t="n"/>
      <c r="C319" s="13" t="n"/>
      <c r="D319" s="26" t="n"/>
      <c r="E319" s="12" t="n"/>
      <c r="F319" s="12" t="n"/>
      <c r="G319" s="12" t="n"/>
      <c r="H319" s="12" t="n"/>
      <c r="I319" s="13" t="n"/>
      <c r="J319" s="13" t="n"/>
      <c r="K319" s="12" t="n"/>
      <c r="L319" s="13" t="n"/>
      <c r="M319" s="15">
        <f>IF($A319="","",IF($D319="",1,$D319)*$E319+$F319-$H319)</f>
        <v/>
      </c>
      <c r="N319" s="15">
        <f>IF($A319="","",IF($B319="Etsy",IF($D319="",1,$D319)*Settings!$C$19,0))</f>
        <v/>
      </c>
      <c r="O319" s="15">
        <f>IF($A319="","",IF($B319="Etsy",Settings!$C$20*($M319+IF(Settings!$C$54="Y",0,$H319)),0))</f>
        <v/>
      </c>
      <c r="P319" s="15">
        <f>IF($A319="","",IF($B319="Etsy",Settings!$C$21*$M319*(1+Settings!$C$55)+Settings!$C$22,IF($B319="Shopify",Settings!$C$14*$M319+Settings!$C$15,0)))</f>
        <v/>
      </c>
      <c r="Q319" s="15">
        <f>IF($A319="","",IF(AND($B319="Etsy",$I319="Y"),MIN(Settings!$C$12*($M319+IF(Settings!$C$54="Y",0,$H319)),Settings!$C$25),0))</f>
        <v/>
      </c>
      <c r="R319" s="15">
        <f>IF($A319="","",IF(AND($B319="Etsy",$J319="Y",$L319="Y",$M319&gt;0),($O319+Settings!$C$21*$M319*(1+Settings!$C$55)+IF(Settings!$C$59="Y",$Q319,0))*$T319/$M319+IF(AND(Settings!$C$58="Y",$T319&gt;=$M319),Settings!$C$22,0),0))</f>
        <v/>
      </c>
      <c r="S319" s="15">
        <f>IF($A319="","",$N319+$O319+$P319+$Q319-$R319)</f>
        <v/>
      </c>
      <c r="T319" s="15">
        <f>IF($A319="","",IF($J319="Y",IF($K319="",$M319,MIN($K319,$M319)),0))</f>
        <v/>
      </c>
      <c r="U319" s="15">
        <f>IF($A319="","",IF($D319="",1,$D319)*IFERROR(INDEX(Products!$F$5:$F$54,MATCH($C319,Products!$A$5:$A$54,0)),0))</f>
        <v/>
      </c>
      <c r="V319" s="27">
        <f>IF($A319="","",$M319-$T319-$S319-$U319-$G319)</f>
        <v/>
      </c>
      <c r="W319" s="31">
        <f>IF($A319="","",IF($M319-$T319&gt;0,$V319/($M319-$T319),""))</f>
        <v/>
      </c>
      <c r="X319" s="35">
        <f>IF($A319="","",DATE(YEAR($A319),MONTH($A319),1))</f>
        <v/>
      </c>
    </row>
    <row r="320">
      <c r="A320" s="18" t="n"/>
      <c r="B320" s="13" t="n"/>
      <c r="C320" s="13" t="n"/>
      <c r="D320" s="26" t="n"/>
      <c r="E320" s="12" t="n"/>
      <c r="F320" s="12" t="n"/>
      <c r="G320" s="12" t="n"/>
      <c r="H320" s="12" t="n"/>
      <c r="I320" s="13" t="n"/>
      <c r="J320" s="13" t="n"/>
      <c r="K320" s="12" t="n"/>
      <c r="L320" s="13" t="n"/>
      <c r="M320" s="15">
        <f>IF($A320="","",IF($D320="",1,$D320)*$E320+$F320-$H320)</f>
        <v/>
      </c>
      <c r="N320" s="15">
        <f>IF($A320="","",IF($B320="Etsy",IF($D320="",1,$D320)*Settings!$C$19,0))</f>
        <v/>
      </c>
      <c r="O320" s="15">
        <f>IF($A320="","",IF($B320="Etsy",Settings!$C$20*($M320+IF(Settings!$C$54="Y",0,$H320)),0))</f>
        <v/>
      </c>
      <c r="P320" s="15">
        <f>IF($A320="","",IF($B320="Etsy",Settings!$C$21*$M320*(1+Settings!$C$55)+Settings!$C$22,IF($B320="Shopify",Settings!$C$14*$M320+Settings!$C$15,0)))</f>
        <v/>
      </c>
      <c r="Q320" s="15">
        <f>IF($A320="","",IF(AND($B320="Etsy",$I320="Y"),MIN(Settings!$C$12*($M320+IF(Settings!$C$54="Y",0,$H320)),Settings!$C$25),0))</f>
        <v/>
      </c>
      <c r="R320" s="15">
        <f>IF($A320="","",IF(AND($B320="Etsy",$J320="Y",$L320="Y",$M320&gt;0),($O320+Settings!$C$21*$M320*(1+Settings!$C$55)+IF(Settings!$C$59="Y",$Q320,0))*$T320/$M320+IF(AND(Settings!$C$58="Y",$T320&gt;=$M320),Settings!$C$22,0),0))</f>
        <v/>
      </c>
      <c r="S320" s="15">
        <f>IF($A320="","",$N320+$O320+$P320+$Q320-$R320)</f>
        <v/>
      </c>
      <c r="T320" s="15">
        <f>IF($A320="","",IF($J320="Y",IF($K320="",$M320,MIN($K320,$M320)),0))</f>
        <v/>
      </c>
      <c r="U320" s="15">
        <f>IF($A320="","",IF($D320="",1,$D320)*IFERROR(INDEX(Products!$F$5:$F$54,MATCH($C320,Products!$A$5:$A$54,0)),0))</f>
        <v/>
      </c>
      <c r="V320" s="27">
        <f>IF($A320="","",$M320-$T320-$S320-$U320-$G320)</f>
        <v/>
      </c>
      <c r="W320" s="31">
        <f>IF($A320="","",IF($M320-$T320&gt;0,$V320/($M320-$T320),""))</f>
        <v/>
      </c>
      <c r="X320" s="35">
        <f>IF($A320="","",DATE(YEAR($A320),MONTH($A320),1))</f>
        <v/>
      </c>
    </row>
    <row r="321">
      <c r="A321" s="18" t="n"/>
      <c r="B321" s="13" t="n"/>
      <c r="C321" s="13" t="n"/>
      <c r="D321" s="26" t="n"/>
      <c r="E321" s="12" t="n"/>
      <c r="F321" s="12" t="n"/>
      <c r="G321" s="12" t="n"/>
      <c r="H321" s="12" t="n"/>
      <c r="I321" s="13" t="n"/>
      <c r="J321" s="13" t="n"/>
      <c r="K321" s="12" t="n"/>
      <c r="L321" s="13" t="n"/>
      <c r="M321" s="15">
        <f>IF($A321="","",IF($D321="",1,$D321)*$E321+$F321-$H321)</f>
        <v/>
      </c>
      <c r="N321" s="15">
        <f>IF($A321="","",IF($B321="Etsy",IF($D321="",1,$D321)*Settings!$C$19,0))</f>
        <v/>
      </c>
      <c r="O321" s="15">
        <f>IF($A321="","",IF($B321="Etsy",Settings!$C$20*($M321+IF(Settings!$C$54="Y",0,$H321)),0))</f>
        <v/>
      </c>
      <c r="P321" s="15">
        <f>IF($A321="","",IF($B321="Etsy",Settings!$C$21*$M321*(1+Settings!$C$55)+Settings!$C$22,IF($B321="Shopify",Settings!$C$14*$M321+Settings!$C$15,0)))</f>
        <v/>
      </c>
      <c r="Q321" s="15">
        <f>IF($A321="","",IF(AND($B321="Etsy",$I321="Y"),MIN(Settings!$C$12*($M321+IF(Settings!$C$54="Y",0,$H321)),Settings!$C$25),0))</f>
        <v/>
      </c>
      <c r="R321" s="15">
        <f>IF($A321="","",IF(AND($B321="Etsy",$J321="Y",$L321="Y",$M321&gt;0),($O321+Settings!$C$21*$M321*(1+Settings!$C$55)+IF(Settings!$C$59="Y",$Q321,0))*$T321/$M321+IF(AND(Settings!$C$58="Y",$T321&gt;=$M321),Settings!$C$22,0),0))</f>
        <v/>
      </c>
      <c r="S321" s="15">
        <f>IF($A321="","",$N321+$O321+$P321+$Q321-$R321)</f>
        <v/>
      </c>
      <c r="T321" s="15">
        <f>IF($A321="","",IF($J321="Y",IF($K321="",$M321,MIN($K321,$M321)),0))</f>
        <v/>
      </c>
      <c r="U321" s="15">
        <f>IF($A321="","",IF($D321="",1,$D321)*IFERROR(INDEX(Products!$F$5:$F$54,MATCH($C321,Products!$A$5:$A$54,0)),0))</f>
        <v/>
      </c>
      <c r="V321" s="27">
        <f>IF($A321="","",$M321-$T321-$S321-$U321-$G321)</f>
        <v/>
      </c>
      <c r="W321" s="31">
        <f>IF($A321="","",IF($M321-$T321&gt;0,$V321/($M321-$T321),""))</f>
        <v/>
      </c>
      <c r="X321" s="35">
        <f>IF($A321="","",DATE(YEAR($A321),MONTH($A321),1))</f>
        <v/>
      </c>
    </row>
    <row r="322">
      <c r="A322" s="18" t="n"/>
      <c r="B322" s="13" t="n"/>
      <c r="C322" s="13" t="n"/>
      <c r="D322" s="26" t="n"/>
      <c r="E322" s="12" t="n"/>
      <c r="F322" s="12" t="n"/>
      <c r="G322" s="12" t="n"/>
      <c r="H322" s="12" t="n"/>
      <c r="I322" s="13" t="n"/>
      <c r="J322" s="13" t="n"/>
      <c r="K322" s="12" t="n"/>
      <c r="L322" s="13" t="n"/>
      <c r="M322" s="15">
        <f>IF($A322="","",IF($D322="",1,$D322)*$E322+$F322-$H322)</f>
        <v/>
      </c>
      <c r="N322" s="15">
        <f>IF($A322="","",IF($B322="Etsy",IF($D322="",1,$D322)*Settings!$C$19,0))</f>
        <v/>
      </c>
      <c r="O322" s="15">
        <f>IF($A322="","",IF($B322="Etsy",Settings!$C$20*($M322+IF(Settings!$C$54="Y",0,$H322)),0))</f>
        <v/>
      </c>
      <c r="P322" s="15">
        <f>IF($A322="","",IF($B322="Etsy",Settings!$C$21*$M322*(1+Settings!$C$55)+Settings!$C$22,IF($B322="Shopify",Settings!$C$14*$M322+Settings!$C$15,0)))</f>
        <v/>
      </c>
      <c r="Q322" s="15">
        <f>IF($A322="","",IF(AND($B322="Etsy",$I322="Y"),MIN(Settings!$C$12*($M322+IF(Settings!$C$54="Y",0,$H322)),Settings!$C$25),0))</f>
        <v/>
      </c>
      <c r="R322" s="15">
        <f>IF($A322="","",IF(AND($B322="Etsy",$J322="Y",$L322="Y",$M322&gt;0),($O322+Settings!$C$21*$M322*(1+Settings!$C$55)+IF(Settings!$C$59="Y",$Q322,0))*$T322/$M322+IF(AND(Settings!$C$58="Y",$T322&gt;=$M322),Settings!$C$22,0),0))</f>
        <v/>
      </c>
      <c r="S322" s="15">
        <f>IF($A322="","",$N322+$O322+$P322+$Q322-$R322)</f>
        <v/>
      </c>
      <c r="T322" s="15">
        <f>IF($A322="","",IF($J322="Y",IF($K322="",$M322,MIN($K322,$M322)),0))</f>
        <v/>
      </c>
      <c r="U322" s="15">
        <f>IF($A322="","",IF($D322="",1,$D322)*IFERROR(INDEX(Products!$F$5:$F$54,MATCH($C322,Products!$A$5:$A$54,0)),0))</f>
        <v/>
      </c>
      <c r="V322" s="27">
        <f>IF($A322="","",$M322-$T322-$S322-$U322-$G322)</f>
        <v/>
      </c>
      <c r="W322" s="31">
        <f>IF($A322="","",IF($M322-$T322&gt;0,$V322/($M322-$T322),""))</f>
        <v/>
      </c>
      <c r="X322" s="35">
        <f>IF($A322="","",DATE(YEAR($A322),MONTH($A322),1))</f>
        <v/>
      </c>
    </row>
    <row r="323">
      <c r="A323" s="18" t="n"/>
      <c r="B323" s="13" t="n"/>
      <c r="C323" s="13" t="n"/>
      <c r="D323" s="26" t="n"/>
      <c r="E323" s="12" t="n"/>
      <c r="F323" s="12" t="n"/>
      <c r="G323" s="12" t="n"/>
      <c r="H323" s="12" t="n"/>
      <c r="I323" s="13" t="n"/>
      <c r="J323" s="13" t="n"/>
      <c r="K323" s="12" t="n"/>
      <c r="L323" s="13" t="n"/>
      <c r="M323" s="15">
        <f>IF($A323="","",IF($D323="",1,$D323)*$E323+$F323-$H323)</f>
        <v/>
      </c>
      <c r="N323" s="15">
        <f>IF($A323="","",IF($B323="Etsy",IF($D323="",1,$D323)*Settings!$C$19,0))</f>
        <v/>
      </c>
      <c r="O323" s="15">
        <f>IF($A323="","",IF($B323="Etsy",Settings!$C$20*($M323+IF(Settings!$C$54="Y",0,$H323)),0))</f>
        <v/>
      </c>
      <c r="P323" s="15">
        <f>IF($A323="","",IF($B323="Etsy",Settings!$C$21*$M323*(1+Settings!$C$55)+Settings!$C$22,IF($B323="Shopify",Settings!$C$14*$M323+Settings!$C$15,0)))</f>
        <v/>
      </c>
      <c r="Q323" s="15">
        <f>IF($A323="","",IF(AND($B323="Etsy",$I323="Y"),MIN(Settings!$C$12*($M323+IF(Settings!$C$54="Y",0,$H323)),Settings!$C$25),0))</f>
        <v/>
      </c>
      <c r="R323" s="15">
        <f>IF($A323="","",IF(AND($B323="Etsy",$J323="Y",$L323="Y",$M323&gt;0),($O323+Settings!$C$21*$M323*(1+Settings!$C$55)+IF(Settings!$C$59="Y",$Q323,0))*$T323/$M323+IF(AND(Settings!$C$58="Y",$T323&gt;=$M323),Settings!$C$22,0),0))</f>
        <v/>
      </c>
      <c r="S323" s="15">
        <f>IF($A323="","",$N323+$O323+$P323+$Q323-$R323)</f>
        <v/>
      </c>
      <c r="T323" s="15">
        <f>IF($A323="","",IF($J323="Y",IF($K323="",$M323,MIN($K323,$M323)),0))</f>
        <v/>
      </c>
      <c r="U323" s="15">
        <f>IF($A323="","",IF($D323="",1,$D323)*IFERROR(INDEX(Products!$F$5:$F$54,MATCH($C323,Products!$A$5:$A$54,0)),0))</f>
        <v/>
      </c>
      <c r="V323" s="27">
        <f>IF($A323="","",$M323-$T323-$S323-$U323-$G323)</f>
        <v/>
      </c>
      <c r="W323" s="31">
        <f>IF($A323="","",IF($M323-$T323&gt;0,$V323/($M323-$T323),""))</f>
        <v/>
      </c>
      <c r="X323" s="35">
        <f>IF($A323="","",DATE(YEAR($A323),MONTH($A323),1))</f>
        <v/>
      </c>
    </row>
    <row r="324">
      <c r="A324" s="18" t="n"/>
      <c r="B324" s="13" t="n"/>
      <c r="C324" s="13" t="n"/>
      <c r="D324" s="26" t="n"/>
      <c r="E324" s="12" t="n"/>
      <c r="F324" s="12" t="n"/>
      <c r="G324" s="12" t="n"/>
      <c r="H324" s="12" t="n"/>
      <c r="I324" s="13" t="n"/>
      <c r="J324" s="13" t="n"/>
      <c r="K324" s="12" t="n"/>
      <c r="L324" s="13" t="n"/>
      <c r="M324" s="15">
        <f>IF($A324="","",IF($D324="",1,$D324)*$E324+$F324-$H324)</f>
        <v/>
      </c>
      <c r="N324" s="15">
        <f>IF($A324="","",IF($B324="Etsy",IF($D324="",1,$D324)*Settings!$C$19,0))</f>
        <v/>
      </c>
      <c r="O324" s="15">
        <f>IF($A324="","",IF($B324="Etsy",Settings!$C$20*($M324+IF(Settings!$C$54="Y",0,$H324)),0))</f>
        <v/>
      </c>
      <c r="P324" s="15">
        <f>IF($A324="","",IF($B324="Etsy",Settings!$C$21*$M324*(1+Settings!$C$55)+Settings!$C$22,IF($B324="Shopify",Settings!$C$14*$M324+Settings!$C$15,0)))</f>
        <v/>
      </c>
      <c r="Q324" s="15">
        <f>IF($A324="","",IF(AND($B324="Etsy",$I324="Y"),MIN(Settings!$C$12*($M324+IF(Settings!$C$54="Y",0,$H324)),Settings!$C$25),0))</f>
        <v/>
      </c>
      <c r="R324" s="15">
        <f>IF($A324="","",IF(AND($B324="Etsy",$J324="Y",$L324="Y",$M324&gt;0),($O324+Settings!$C$21*$M324*(1+Settings!$C$55)+IF(Settings!$C$59="Y",$Q324,0))*$T324/$M324+IF(AND(Settings!$C$58="Y",$T324&gt;=$M324),Settings!$C$22,0),0))</f>
        <v/>
      </c>
      <c r="S324" s="15">
        <f>IF($A324="","",$N324+$O324+$P324+$Q324-$R324)</f>
        <v/>
      </c>
      <c r="T324" s="15">
        <f>IF($A324="","",IF($J324="Y",IF($K324="",$M324,MIN($K324,$M324)),0))</f>
        <v/>
      </c>
      <c r="U324" s="15">
        <f>IF($A324="","",IF($D324="",1,$D324)*IFERROR(INDEX(Products!$F$5:$F$54,MATCH($C324,Products!$A$5:$A$54,0)),0))</f>
        <v/>
      </c>
      <c r="V324" s="27">
        <f>IF($A324="","",$M324-$T324-$S324-$U324-$G324)</f>
        <v/>
      </c>
      <c r="W324" s="31">
        <f>IF($A324="","",IF($M324-$T324&gt;0,$V324/($M324-$T324),""))</f>
        <v/>
      </c>
      <c r="X324" s="35">
        <f>IF($A324="","",DATE(YEAR($A324),MONTH($A324),1))</f>
        <v/>
      </c>
    </row>
    <row r="325">
      <c r="A325" s="18" t="n"/>
      <c r="B325" s="13" t="n"/>
      <c r="C325" s="13" t="n"/>
      <c r="D325" s="26" t="n"/>
      <c r="E325" s="12" t="n"/>
      <c r="F325" s="12" t="n"/>
      <c r="G325" s="12" t="n"/>
      <c r="H325" s="12" t="n"/>
      <c r="I325" s="13" t="n"/>
      <c r="J325" s="13" t="n"/>
      <c r="K325" s="12" t="n"/>
      <c r="L325" s="13" t="n"/>
      <c r="M325" s="15">
        <f>IF($A325="","",IF($D325="",1,$D325)*$E325+$F325-$H325)</f>
        <v/>
      </c>
      <c r="N325" s="15">
        <f>IF($A325="","",IF($B325="Etsy",IF($D325="",1,$D325)*Settings!$C$19,0))</f>
        <v/>
      </c>
      <c r="O325" s="15">
        <f>IF($A325="","",IF($B325="Etsy",Settings!$C$20*($M325+IF(Settings!$C$54="Y",0,$H325)),0))</f>
        <v/>
      </c>
      <c r="P325" s="15">
        <f>IF($A325="","",IF($B325="Etsy",Settings!$C$21*$M325*(1+Settings!$C$55)+Settings!$C$22,IF($B325="Shopify",Settings!$C$14*$M325+Settings!$C$15,0)))</f>
        <v/>
      </c>
      <c r="Q325" s="15">
        <f>IF($A325="","",IF(AND($B325="Etsy",$I325="Y"),MIN(Settings!$C$12*($M325+IF(Settings!$C$54="Y",0,$H325)),Settings!$C$25),0))</f>
        <v/>
      </c>
      <c r="R325" s="15">
        <f>IF($A325="","",IF(AND($B325="Etsy",$J325="Y",$L325="Y",$M325&gt;0),($O325+Settings!$C$21*$M325*(1+Settings!$C$55)+IF(Settings!$C$59="Y",$Q325,0))*$T325/$M325+IF(AND(Settings!$C$58="Y",$T325&gt;=$M325),Settings!$C$22,0),0))</f>
        <v/>
      </c>
      <c r="S325" s="15">
        <f>IF($A325="","",$N325+$O325+$P325+$Q325-$R325)</f>
        <v/>
      </c>
      <c r="T325" s="15">
        <f>IF($A325="","",IF($J325="Y",IF($K325="",$M325,MIN($K325,$M325)),0))</f>
        <v/>
      </c>
      <c r="U325" s="15">
        <f>IF($A325="","",IF($D325="",1,$D325)*IFERROR(INDEX(Products!$F$5:$F$54,MATCH($C325,Products!$A$5:$A$54,0)),0))</f>
        <v/>
      </c>
      <c r="V325" s="27">
        <f>IF($A325="","",$M325-$T325-$S325-$U325-$G325)</f>
        <v/>
      </c>
      <c r="W325" s="31">
        <f>IF($A325="","",IF($M325-$T325&gt;0,$V325/($M325-$T325),""))</f>
        <v/>
      </c>
      <c r="X325" s="35">
        <f>IF($A325="","",DATE(YEAR($A325),MONTH($A325),1))</f>
        <v/>
      </c>
    </row>
    <row r="326">
      <c r="A326" s="18" t="n"/>
      <c r="B326" s="13" t="n"/>
      <c r="C326" s="13" t="n"/>
      <c r="D326" s="26" t="n"/>
      <c r="E326" s="12" t="n"/>
      <c r="F326" s="12" t="n"/>
      <c r="G326" s="12" t="n"/>
      <c r="H326" s="12" t="n"/>
      <c r="I326" s="13" t="n"/>
      <c r="J326" s="13" t="n"/>
      <c r="K326" s="12" t="n"/>
      <c r="L326" s="13" t="n"/>
      <c r="M326" s="15">
        <f>IF($A326="","",IF($D326="",1,$D326)*$E326+$F326-$H326)</f>
        <v/>
      </c>
      <c r="N326" s="15">
        <f>IF($A326="","",IF($B326="Etsy",IF($D326="",1,$D326)*Settings!$C$19,0))</f>
        <v/>
      </c>
      <c r="O326" s="15">
        <f>IF($A326="","",IF($B326="Etsy",Settings!$C$20*($M326+IF(Settings!$C$54="Y",0,$H326)),0))</f>
        <v/>
      </c>
      <c r="P326" s="15">
        <f>IF($A326="","",IF($B326="Etsy",Settings!$C$21*$M326*(1+Settings!$C$55)+Settings!$C$22,IF($B326="Shopify",Settings!$C$14*$M326+Settings!$C$15,0)))</f>
        <v/>
      </c>
      <c r="Q326" s="15">
        <f>IF($A326="","",IF(AND($B326="Etsy",$I326="Y"),MIN(Settings!$C$12*($M326+IF(Settings!$C$54="Y",0,$H326)),Settings!$C$25),0))</f>
        <v/>
      </c>
      <c r="R326" s="15">
        <f>IF($A326="","",IF(AND($B326="Etsy",$J326="Y",$L326="Y",$M326&gt;0),($O326+Settings!$C$21*$M326*(1+Settings!$C$55)+IF(Settings!$C$59="Y",$Q326,0))*$T326/$M326+IF(AND(Settings!$C$58="Y",$T326&gt;=$M326),Settings!$C$22,0),0))</f>
        <v/>
      </c>
      <c r="S326" s="15">
        <f>IF($A326="","",$N326+$O326+$P326+$Q326-$R326)</f>
        <v/>
      </c>
      <c r="T326" s="15">
        <f>IF($A326="","",IF($J326="Y",IF($K326="",$M326,MIN($K326,$M326)),0))</f>
        <v/>
      </c>
      <c r="U326" s="15">
        <f>IF($A326="","",IF($D326="",1,$D326)*IFERROR(INDEX(Products!$F$5:$F$54,MATCH($C326,Products!$A$5:$A$54,0)),0))</f>
        <v/>
      </c>
      <c r="V326" s="27">
        <f>IF($A326="","",$M326-$T326-$S326-$U326-$G326)</f>
        <v/>
      </c>
      <c r="W326" s="31">
        <f>IF($A326="","",IF($M326-$T326&gt;0,$V326/($M326-$T326),""))</f>
        <v/>
      </c>
      <c r="X326" s="35">
        <f>IF($A326="","",DATE(YEAR($A326),MONTH($A326),1))</f>
        <v/>
      </c>
    </row>
    <row r="327">
      <c r="A327" s="18" t="n"/>
      <c r="B327" s="13" t="n"/>
      <c r="C327" s="13" t="n"/>
      <c r="D327" s="26" t="n"/>
      <c r="E327" s="12" t="n"/>
      <c r="F327" s="12" t="n"/>
      <c r="G327" s="12" t="n"/>
      <c r="H327" s="12" t="n"/>
      <c r="I327" s="13" t="n"/>
      <c r="J327" s="13" t="n"/>
      <c r="K327" s="12" t="n"/>
      <c r="L327" s="13" t="n"/>
      <c r="M327" s="15">
        <f>IF($A327="","",IF($D327="",1,$D327)*$E327+$F327-$H327)</f>
        <v/>
      </c>
      <c r="N327" s="15">
        <f>IF($A327="","",IF($B327="Etsy",IF($D327="",1,$D327)*Settings!$C$19,0))</f>
        <v/>
      </c>
      <c r="O327" s="15">
        <f>IF($A327="","",IF($B327="Etsy",Settings!$C$20*($M327+IF(Settings!$C$54="Y",0,$H327)),0))</f>
        <v/>
      </c>
      <c r="P327" s="15">
        <f>IF($A327="","",IF($B327="Etsy",Settings!$C$21*$M327*(1+Settings!$C$55)+Settings!$C$22,IF($B327="Shopify",Settings!$C$14*$M327+Settings!$C$15,0)))</f>
        <v/>
      </c>
      <c r="Q327" s="15">
        <f>IF($A327="","",IF(AND($B327="Etsy",$I327="Y"),MIN(Settings!$C$12*($M327+IF(Settings!$C$54="Y",0,$H327)),Settings!$C$25),0))</f>
        <v/>
      </c>
      <c r="R327" s="15">
        <f>IF($A327="","",IF(AND($B327="Etsy",$J327="Y",$L327="Y",$M327&gt;0),($O327+Settings!$C$21*$M327*(1+Settings!$C$55)+IF(Settings!$C$59="Y",$Q327,0))*$T327/$M327+IF(AND(Settings!$C$58="Y",$T327&gt;=$M327),Settings!$C$22,0),0))</f>
        <v/>
      </c>
      <c r="S327" s="15">
        <f>IF($A327="","",$N327+$O327+$P327+$Q327-$R327)</f>
        <v/>
      </c>
      <c r="T327" s="15">
        <f>IF($A327="","",IF($J327="Y",IF($K327="",$M327,MIN($K327,$M327)),0))</f>
        <v/>
      </c>
      <c r="U327" s="15">
        <f>IF($A327="","",IF($D327="",1,$D327)*IFERROR(INDEX(Products!$F$5:$F$54,MATCH($C327,Products!$A$5:$A$54,0)),0))</f>
        <v/>
      </c>
      <c r="V327" s="27">
        <f>IF($A327="","",$M327-$T327-$S327-$U327-$G327)</f>
        <v/>
      </c>
      <c r="W327" s="31">
        <f>IF($A327="","",IF($M327-$T327&gt;0,$V327/($M327-$T327),""))</f>
        <v/>
      </c>
      <c r="X327" s="35">
        <f>IF($A327="","",DATE(YEAR($A327),MONTH($A327),1))</f>
        <v/>
      </c>
    </row>
    <row r="328">
      <c r="A328" s="18" t="n"/>
      <c r="B328" s="13" t="n"/>
      <c r="C328" s="13" t="n"/>
      <c r="D328" s="26" t="n"/>
      <c r="E328" s="12" t="n"/>
      <c r="F328" s="12" t="n"/>
      <c r="G328" s="12" t="n"/>
      <c r="H328" s="12" t="n"/>
      <c r="I328" s="13" t="n"/>
      <c r="J328" s="13" t="n"/>
      <c r="K328" s="12" t="n"/>
      <c r="L328" s="13" t="n"/>
      <c r="M328" s="15">
        <f>IF($A328="","",IF($D328="",1,$D328)*$E328+$F328-$H328)</f>
        <v/>
      </c>
      <c r="N328" s="15">
        <f>IF($A328="","",IF($B328="Etsy",IF($D328="",1,$D328)*Settings!$C$19,0))</f>
        <v/>
      </c>
      <c r="O328" s="15">
        <f>IF($A328="","",IF($B328="Etsy",Settings!$C$20*($M328+IF(Settings!$C$54="Y",0,$H328)),0))</f>
        <v/>
      </c>
      <c r="P328" s="15">
        <f>IF($A328="","",IF($B328="Etsy",Settings!$C$21*$M328*(1+Settings!$C$55)+Settings!$C$22,IF($B328="Shopify",Settings!$C$14*$M328+Settings!$C$15,0)))</f>
        <v/>
      </c>
      <c r="Q328" s="15">
        <f>IF($A328="","",IF(AND($B328="Etsy",$I328="Y"),MIN(Settings!$C$12*($M328+IF(Settings!$C$54="Y",0,$H328)),Settings!$C$25),0))</f>
        <v/>
      </c>
      <c r="R328" s="15">
        <f>IF($A328="","",IF(AND($B328="Etsy",$J328="Y",$L328="Y",$M328&gt;0),($O328+Settings!$C$21*$M328*(1+Settings!$C$55)+IF(Settings!$C$59="Y",$Q328,0))*$T328/$M328+IF(AND(Settings!$C$58="Y",$T328&gt;=$M328),Settings!$C$22,0),0))</f>
        <v/>
      </c>
      <c r="S328" s="15">
        <f>IF($A328="","",$N328+$O328+$P328+$Q328-$R328)</f>
        <v/>
      </c>
      <c r="T328" s="15">
        <f>IF($A328="","",IF($J328="Y",IF($K328="",$M328,MIN($K328,$M328)),0))</f>
        <v/>
      </c>
      <c r="U328" s="15">
        <f>IF($A328="","",IF($D328="",1,$D328)*IFERROR(INDEX(Products!$F$5:$F$54,MATCH($C328,Products!$A$5:$A$54,0)),0))</f>
        <v/>
      </c>
      <c r="V328" s="27">
        <f>IF($A328="","",$M328-$T328-$S328-$U328-$G328)</f>
        <v/>
      </c>
      <c r="W328" s="31">
        <f>IF($A328="","",IF($M328-$T328&gt;0,$V328/($M328-$T328),""))</f>
        <v/>
      </c>
      <c r="X328" s="35">
        <f>IF($A328="","",DATE(YEAR($A328),MONTH($A328),1))</f>
        <v/>
      </c>
    </row>
    <row r="329">
      <c r="A329" s="18" t="n"/>
      <c r="B329" s="13" t="n"/>
      <c r="C329" s="13" t="n"/>
      <c r="D329" s="26" t="n"/>
      <c r="E329" s="12" t="n"/>
      <c r="F329" s="12" t="n"/>
      <c r="G329" s="12" t="n"/>
      <c r="H329" s="12" t="n"/>
      <c r="I329" s="13" t="n"/>
      <c r="J329" s="13" t="n"/>
      <c r="K329" s="12" t="n"/>
      <c r="L329" s="13" t="n"/>
      <c r="M329" s="15">
        <f>IF($A329="","",IF($D329="",1,$D329)*$E329+$F329-$H329)</f>
        <v/>
      </c>
      <c r="N329" s="15">
        <f>IF($A329="","",IF($B329="Etsy",IF($D329="",1,$D329)*Settings!$C$19,0))</f>
        <v/>
      </c>
      <c r="O329" s="15">
        <f>IF($A329="","",IF($B329="Etsy",Settings!$C$20*($M329+IF(Settings!$C$54="Y",0,$H329)),0))</f>
        <v/>
      </c>
      <c r="P329" s="15">
        <f>IF($A329="","",IF($B329="Etsy",Settings!$C$21*$M329*(1+Settings!$C$55)+Settings!$C$22,IF($B329="Shopify",Settings!$C$14*$M329+Settings!$C$15,0)))</f>
        <v/>
      </c>
      <c r="Q329" s="15">
        <f>IF($A329="","",IF(AND($B329="Etsy",$I329="Y"),MIN(Settings!$C$12*($M329+IF(Settings!$C$54="Y",0,$H329)),Settings!$C$25),0))</f>
        <v/>
      </c>
      <c r="R329" s="15">
        <f>IF($A329="","",IF(AND($B329="Etsy",$J329="Y",$L329="Y",$M329&gt;0),($O329+Settings!$C$21*$M329*(1+Settings!$C$55)+IF(Settings!$C$59="Y",$Q329,0))*$T329/$M329+IF(AND(Settings!$C$58="Y",$T329&gt;=$M329),Settings!$C$22,0),0))</f>
        <v/>
      </c>
      <c r="S329" s="15">
        <f>IF($A329="","",$N329+$O329+$P329+$Q329-$R329)</f>
        <v/>
      </c>
      <c r="T329" s="15">
        <f>IF($A329="","",IF($J329="Y",IF($K329="",$M329,MIN($K329,$M329)),0))</f>
        <v/>
      </c>
      <c r="U329" s="15">
        <f>IF($A329="","",IF($D329="",1,$D329)*IFERROR(INDEX(Products!$F$5:$F$54,MATCH($C329,Products!$A$5:$A$54,0)),0))</f>
        <v/>
      </c>
      <c r="V329" s="27">
        <f>IF($A329="","",$M329-$T329-$S329-$U329-$G329)</f>
        <v/>
      </c>
      <c r="W329" s="31">
        <f>IF($A329="","",IF($M329-$T329&gt;0,$V329/($M329-$T329),""))</f>
        <v/>
      </c>
      <c r="X329" s="35">
        <f>IF($A329="","",DATE(YEAR($A329),MONTH($A329),1))</f>
        <v/>
      </c>
    </row>
    <row r="330">
      <c r="A330" s="18" t="n"/>
      <c r="B330" s="13" t="n"/>
      <c r="C330" s="13" t="n"/>
      <c r="D330" s="26" t="n"/>
      <c r="E330" s="12" t="n"/>
      <c r="F330" s="12" t="n"/>
      <c r="G330" s="12" t="n"/>
      <c r="H330" s="12" t="n"/>
      <c r="I330" s="13" t="n"/>
      <c r="J330" s="13" t="n"/>
      <c r="K330" s="12" t="n"/>
      <c r="L330" s="13" t="n"/>
      <c r="M330" s="15">
        <f>IF($A330="","",IF($D330="",1,$D330)*$E330+$F330-$H330)</f>
        <v/>
      </c>
      <c r="N330" s="15">
        <f>IF($A330="","",IF($B330="Etsy",IF($D330="",1,$D330)*Settings!$C$19,0))</f>
        <v/>
      </c>
      <c r="O330" s="15">
        <f>IF($A330="","",IF($B330="Etsy",Settings!$C$20*($M330+IF(Settings!$C$54="Y",0,$H330)),0))</f>
        <v/>
      </c>
      <c r="P330" s="15">
        <f>IF($A330="","",IF($B330="Etsy",Settings!$C$21*$M330*(1+Settings!$C$55)+Settings!$C$22,IF($B330="Shopify",Settings!$C$14*$M330+Settings!$C$15,0)))</f>
        <v/>
      </c>
      <c r="Q330" s="15">
        <f>IF($A330="","",IF(AND($B330="Etsy",$I330="Y"),MIN(Settings!$C$12*($M330+IF(Settings!$C$54="Y",0,$H330)),Settings!$C$25),0))</f>
        <v/>
      </c>
      <c r="R330" s="15">
        <f>IF($A330="","",IF(AND($B330="Etsy",$J330="Y",$L330="Y",$M330&gt;0),($O330+Settings!$C$21*$M330*(1+Settings!$C$55)+IF(Settings!$C$59="Y",$Q330,0))*$T330/$M330+IF(AND(Settings!$C$58="Y",$T330&gt;=$M330),Settings!$C$22,0),0))</f>
        <v/>
      </c>
      <c r="S330" s="15">
        <f>IF($A330="","",$N330+$O330+$P330+$Q330-$R330)</f>
        <v/>
      </c>
      <c r="T330" s="15">
        <f>IF($A330="","",IF($J330="Y",IF($K330="",$M330,MIN($K330,$M330)),0))</f>
        <v/>
      </c>
      <c r="U330" s="15">
        <f>IF($A330="","",IF($D330="",1,$D330)*IFERROR(INDEX(Products!$F$5:$F$54,MATCH($C330,Products!$A$5:$A$54,0)),0))</f>
        <v/>
      </c>
      <c r="V330" s="27">
        <f>IF($A330="","",$M330-$T330-$S330-$U330-$G330)</f>
        <v/>
      </c>
      <c r="W330" s="31">
        <f>IF($A330="","",IF($M330-$T330&gt;0,$V330/($M330-$T330),""))</f>
        <v/>
      </c>
      <c r="X330" s="35">
        <f>IF($A330="","",DATE(YEAR($A330),MONTH($A330),1))</f>
        <v/>
      </c>
    </row>
    <row r="331">
      <c r="A331" s="18" t="n"/>
      <c r="B331" s="13" t="n"/>
      <c r="C331" s="13" t="n"/>
      <c r="D331" s="26" t="n"/>
      <c r="E331" s="12" t="n"/>
      <c r="F331" s="12" t="n"/>
      <c r="G331" s="12" t="n"/>
      <c r="H331" s="12" t="n"/>
      <c r="I331" s="13" t="n"/>
      <c r="J331" s="13" t="n"/>
      <c r="K331" s="12" t="n"/>
      <c r="L331" s="13" t="n"/>
      <c r="M331" s="15">
        <f>IF($A331="","",IF($D331="",1,$D331)*$E331+$F331-$H331)</f>
        <v/>
      </c>
      <c r="N331" s="15">
        <f>IF($A331="","",IF($B331="Etsy",IF($D331="",1,$D331)*Settings!$C$19,0))</f>
        <v/>
      </c>
      <c r="O331" s="15">
        <f>IF($A331="","",IF($B331="Etsy",Settings!$C$20*($M331+IF(Settings!$C$54="Y",0,$H331)),0))</f>
        <v/>
      </c>
      <c r="P331" s="15">
        <f>IF($A331="","",IF($B331="Etsy",Settings!$C$21*$M331*(1+Settings!$C$55)+Settings!$C$22,IF($B331="Shopify",Settings!$C$14*$M331+Settings!$C$15,0)))</f>
        <v/>
      </c>
      <c r="Q331" s="15">
        <f>IF($A331="","",IF(AND($B331="Etsy",$I331="Y"),MIN(Settings!$C$12*($M331+IF(Settings!$C$54="Y",0,$H331)),Settings!$C$25),0))</f>
        <v/>
      </c>
      <c r="R331" s="15">
        <f>IF($A331="","",IF(AND($B331="Etsy",$J331="Y",$L331="Y",$M331&gt;0),($O331+Settings!$C$21*$M331*(1+Settings!$C$55)+IF(Settings!$C$59="Y",$Q331,0))*$T331/$M331+IF(AND(Settings!$C$58="Y",$T331&gt;=$M331),Settings!$C$22,0),0))</f>
        <v/>
      </c>
      <c r="S331" s="15">
        <f>IF($A331="","",$N331+$O331+$P331+$Q331-$R331)</f>
        <v/>
      </c>
      <c r="T331" s="15">
        <f>IF($A331="","",IF($J331="Y",IF($K331="",$M331,MIN($K331,$M331)),0))</f>
        <v/>
      </c>
      <c r="U331" s="15">
        <f>IF($A331="","",IF($D331="",1,$D331)*IFERROR(INDEX(Products!$F$5:$F$54,MATCH($C331,Products!$A$5:$A$54,0)),0))</f>
        <v/>
      </c>
      <c r="V331" s="27">
        <f>IF($A331="","",$M331-$T331-$S331-$U331-$G331)</f>
        <v/>
      </c>
      <c r="W331" s="31">
        <f>IF($A331="","",IF($M331-$T331&gt;0,$V331/($M331-$T331),""))</f>
        <v/>
      </c>
      <c r="X331" s="35">
        <f>IF($A331="","",DATE(YEAR($A331),MONTH($A331),1))</f>
        <v/>
      </c>
    </row>
    <row r="332">
      <c r="A332" s="18" t="n"/>
      <c r="B332" s="13" t="n"/>
      <c r="C332" s="13" t="n"/>
      <c r="D332" s="26" t="n"/>
      <c r="E332" s="12" t="n"/>
      <c r="F332" s="12" t="n"/>
      <c r="G332" s="12" t="n"/>
      <c r="H332" s="12" t="n"/>
      <c r="I332" s="13" t="n"/>
      <c r="J332" s="13" t="n"/>
      <c r="K332" s="12" t="n"/>
      <c r="L332" s="13" t="n"/>
      <c r="M332" s="15">
        <f>IF($A332="","",IF($D332="",1,$D332)*$E332+$F332-$H332)</f>
        <v/>
      </c>
      <c r="N332" s="15">
        <f>IF($A332="","",IF($B332="Etsy",IF($D332="",1,$D332)*Settings!$C$19,0))</f>
        <v/>
      </c>
      <c r="O332" s="15">
        <f>IF($A332="","",IF($B332="Etsy",Settings!$C$20*($M332+IF(Settings!$C$54="Y",0,$H332)),0))</f>
        <v/>
      </c>
      <c r="P332" s="15">
        <f>IF($A332="","",IF($B332="Etsy",Settings!$C$21*$M332*(1+Settings!$C$55)+Settings!$C$22,IF($B332="Shopify",Settings!$C$14*$M332+Settings!$C$15,0)))</f>
        <v/>
      </c>
      <c r="Q332" s="15">
        <f>IF($A332="","",IF(AND($B332="Etsy",$I332="Y"),MIN(Settings!$C$12*($M332+IF(Settings!$C$54="Y",0,$H332)),Settings!$C$25),0))</f>
        <v/>
      </c>
      <c r="R332" s="15">
        <f>IF($A332="","",IF(AND($B332="Etsy",$J332="Y",$L332="Y",$M332&gt;0),($O332+Settings!$C$21*$M332*(1+Settings!$C$55)+IF(Settings!$C$59="Y",$Q332,0))*$T332/$M332+IF(AND(Settings!$C$58="Y",$T332&gt;=$M332),Settings!$C$22,0),0))</f>
        <v/>
      </c>
      <c r="S332" s="15">
        <f>IF($A332="","",$N332+$O332+$P332+$Q332-$R332)</f>
        <v/>
      </c>
      <c r="T332" s="15">
        <f>IF($A332="","",IF($J332="Y",IF($K332="",$M332,MIN($K332,$M332)),0))</f>
        <v/>
      </c>
      <c r="U332" s="15">
        <f>IF($A332="","",IF($D332="",1,$D332)*IFERROR(INDEX(Products!$F$5:$F$54,MATCH($C332,Products!$A$5:$A$54,0)),0))</f>
        <v/>
      </c>
      <c r="V332" s="27">
        <f>IF($A332="","",$M332-$T332-$S332-$U332-$G332)</f>
        <v/>
      </c>
      <c r="W332" s="31">
        <f>IF($A332="","",IF($M332-$T332&gt;0,$V332/($M332-$T332),""))</f>
        <v/>
      </c>
      <c r="X332" s="35">
        <f>IF($A332="","",DATE(YEAR($A332),MONTH($A332),1))</f>
        <v/>
      </c>
    </row>
    <row r="333">
      <c r="A333" s="18" t="n"/>
      <c r="B333" s="13" t="n"/>
      <c r="C333" s="13" t="n"/>
      <c r="D333" s="26" t="n"/>
      <c r="E333" s="12" t="n"/>
      <c r="F333" s="12" t="n"/>
      <c r="G333" s="12" t="n"/>
      <c r="H333" s="12" t="n"/>
      <c r="I333" s="13" t="n"/>
      <c r="J333" s="13" t="n"/>
      <c r="K333" s="12" t="n"/>
      <c r="L333" s="13" t="n"/>
      <c r="M333" s="15">
        <f>IF($A333="","",IF($D333="",1,$D333)*$E333+$F333-$H333)</f>
        <v/>
      </c>
      <c r="N333" s="15">
        <f>IF($A333="","",IF($B333="Etsy",IF($D333="",1,$D333)*Settings!$C$19,0))</f>
        <v/>
      </c>
      <c r="O333" s="15">
        <f>IF($A333="","",IF($B333="Etsy",Settings!$C$20*($M333+IF(Settings!$C$54="Y",0,$H333)),0))</f>
        <v/>
      </c>
      <c r="P333" s="15">
        <f>IF($A333="","",IF($B333="Etsy",Settings!$C$21*$M333*(1+Settings!$C$55)+Settings!$C$22,IF($B333="Shopify",Settings!$C$14*$M333+Settings!$C$15,0)))</f>
        <v/>
      </c>
      <c r="Q333" s="15">
        <f>IF($A333="","",IF(AND($B333="Etsy",$I333="Y"),MIN(Settings!$C$12*($M333+IF(Settings!$C$54="Y",0,$H333)),Settings!$C$25),0))</f>
        <v/>
      </c>
      <c r="R333" s="15">
        <f>IF($A333="","",IF(AND($B333="Etsy",$J333="Y",$L333="Y",$M333&gt;0),($O333+Settings!$C$21*$M333*(1+Settings!$C$55)+IF(Settings!$C$59="Y",$Q333,0))*$T333/$M333+IF(AND(Settings!$C$58="Y",$T333&gt;=$M333),Settings!$C$22,0),0))</f>
        <v/>
      </c>
      <c r="S333" s="15">
        <f>IF($A333="","",$N333+$O333+$P333+$Q333-$R333)</f>
        <v/>
      </c>
      <c r="T333" s="15">
        <f>IF($A333="","",IF($J333="Y",IF($K333="",$M333,MIN($K333,$M333)),0))</f>
        <v/>
      </c>
      <c r="U333" s="15">
        <f>IF($A333="","",IF($D333="",1,$D333)*IFERROR(INDEX(Products!$F$5:$F$54,MATCH($C333,Products!$A$5:$A$54,0)),0))</f>
        <v/>
      </c>
      <c r="V333" s="27">
        <f>IF($A333="","",$M333-$T333-$S333-$U333-$G333)</f>
        <v/>
      </c>
      <c r="W333" s="31">
        <f>IF($A333="","",IF($M333-$T333&gt;0,$V333/($M333-$T333),""))</f>
        <v/>
      </c>
      <c r="X333" s="35">
        <f>IF($A333="","",DATE(YEAR($A333),MONTH($A333),1))</f>
        <v/>
      </c>
    </row>
    <row r="334">
      <c r="A334" s="18" t="n"/>
      <c r="B334" s="13" t="n"/>
      <c r="C334" s="13" t="n"/>
      <c r="D334" s="26" t="n"/>
      <c r="E334" s="12" t="n"/>
      <c r="F334" s="12" t="n"/>
      <c r="G334" s="12" t="n"/>
      <c r="H334" s="12" t="n"/>
      <c r="I334" s="13" t="n"/>
      <c r="J334" s="13" t="n"/>
      <c r="K334" s="12" t="n"/>
      <c r="L334" s="13" t="n"/>
      <c r="M334" s="15">
        <f>IF($A334="","",IF($D334="",1,$D334)*$E334+$F334-$H334)</f>
        <v/>
      </c>
      <c r="N334" s="15">
        <f>IF($A334="","",IF($B334="Etsy",IF($D334="",1,$D334)*Settings!$C$19,0))</f>
        <v/>
      </c>
      <c r="O334" s="15">
        <f>IF($A334="","",IF($B334="Etsy",Settings!$C$20*($M334+IF(Settings!$C$54="Y",0,$H334)),0))</f>
        <v/>
      </c>
      <c r="P334" s="15">
        <f>IF($A334="","",IF($B334="Etsy",Settings!$C$21*$M334*(1+Settings!$C$55)+Settings!$C$22,IF($B334="Shopify",Settings!$C$14*$M334+Settings!$C$15,0)))</f>
        <v/>
      </c>
      <c r="Q334" s="15">
        <f>IF($A334="","",IF(AND($B334="Etsy",$I334="Y"),MIN(Settings!$C$12*($M334+IF(Settings!$C$54="Y",0,$H334)),Settings!$C$25),0))</f>
        <v/>
      </c>
      <c r="R334" s="15">
        <f>IF($A334="","",IF(AND($B334="Etsy",$J334="Y",$L334="Y",$M334&gt;0),($O334+Settings!$C$21*$M334*(1+Settings!$C$55)+IF(Settings!$C$59="Y",$Q334,0))*$T334/$M334+IF(AND(Settings!$C$58="Y",$T334&gt;=$M334),Settings!$C$22,0),0))</f>
        <v/>
      </c>
      <c r="S334" s="15">
        <f>IF($A334="","",$N334+$O334+$P334+$Q334-$R334)</f>
        <v/>
      </c>
      <c r="T334" s="15">
        <f>IF($A334="","",IF($J334="Y",IF($K334="",$M334,MIN($K334,$M334)),0))</f>
        <v/>
      </c>
      <c r="U334" s="15">
        <f>IF($A334="","",IF($D334="",1,$D334)*IFERROR(INDEX(Products!$F$5:$F$54,MATCH($C334,Products!$A$5:$A$54,0)),0))</f>
        <v/>
      </c>
      <c r="V334" s="27">
        <f>IF($A334="","",$M334-$T334-$S334-$U334-$G334)</f>
        <v/>
      </c>
      <c r="W334" s="31">
        <f>IF($A334="","",IF($M334-$T334&gt;0,$V334/($M334-$T334),""))</f>
        <v/>
      </c>
      <c r="X334" s="35">
        <f>IF($A334="","",DATE(YEAR($A334),MONTH($A334),1))</f>
        <v/>
      </c>
    </row>
    <row r="335">
      <c r="A335" s="18" t="n"/>
      <c r="B335" s="13" t="n"/>
      <c r="C335" s="13" t="n"/>
      <c r="D335" s="26" t="n"/>
      <c r="E335" s="12" t="n"/>
      <c r="F335" s="12" t="n"/>
      <c r="G335" s="12" t="n"/>
      <c r="H335" s="12" t="n"/>
      <c r="I335" s="13" t="n"/>
      <c r="J335" s="13" t="n"/>
      <c r="K335" s="12" t="n"/>
      <c r="L335" s="13" t="n"/>
      <c r="M335" s="15">
        <f>IF($A335="","",IF($D335="",1,$D335)*$E335+$F335-$H335)</f>
        <v/>
      </c>
      <c r="N335" s="15">
        <f>IF($A335="","",IF($B335="Etsy",IF($D335="",1,$D335)*Settings!$C$19,0))</f>
        <v/>
      </c>
      <c r="O335" s="15">
        <f>IF($A335="","",IF($B335="Etsy",Settings!$C$20*($M335+IF(Settings!$C$54="Y",0,$H335)),0))</f>
        <v/>
      </c>
      <c r="P335" s="15">
        <f>IF($A335="","",IF($B335="Etsy",Settings!$C$21*$M335*(1+Settings!$C$55)+Settings!$C$22,IF($B335="Shopify",Settings!$C$14*$M335+Settings!$C$15,0)))</f>
        <v/>
      </c>
      <c r="Q335" s="15">
        <f>IF($A335="","",IF(AND($B335="Etsy",$I335="Y"),MIN(Settings!$C$12*($M335+IF(Settings!$C$54="Y",0,$H335)),Settings!$C$25),0))</f>
        <v/>
      </c>
      <c r="R335" s="15">
        <f>IF($A335="","",IF(AND($B335="Etsy",$J335="Y",$L335="Y",$M335&gt;0),($O335+Settings!$C$21*$M335*(1+Settings!$C$55)+IF(Settings!$C$59="Y",$Q335,0))*$T335/$M335+IF(AND(Settings!$C$58="Y",$T335&gt;=$M335),Settings!$C$22,0),0))</f>
        <v/>
      </c>
      <c r="S335" s="15">
        <f>IF($A335="","",$N335+$O335+$P335+$Q335-$R335)</f>
        <v/>
      </c>
      <c r="T335" s="15">
        <f>IF($A335="","",IF($J335="Y",IF($K335="",$M335,MIN($K335,$M335)),0))</f>
        <v/>
      </c>
      <c r="U335" s="15">
        <f>IF($A335="","",IF($D335="",1,$D335)*IFERROR(INDEX(Products!$F$5:$F$54,MATCH($C335,Products!$A$5:$A$54,0)),0))</f>
        <v/>
      </c>
      <c r="V335" s="27">
        <f>IF($A335="","",$M335-$T335-$S335-$U335-$G335)</f>
        <v/>
      </c>
      <c r="W335" s="31">
        <f>IF($A335="","",IF($M335-$T335&gt;0,$V335/($M335-$T335),""))</f>
        <v/>
      </c>
      <c r="X335" s="35">
        <f>IF($A335="","",DATE(YEAR($A335),MONTH($A335),1))</f>
        <v/>
      </c>
    </row>
    <row r="336">
      <c r="A336" s="18" t="n"/>
      <c r="B336" s="13" t="n"/>
      <c r="C336" s="13" t="n"/>
      <c r="D336" s="26" t="n"/>
      <c r="E336" s="12" t="n"/>
      <c r="F336" s="12" t="n"/>
      <c r="G336" s="12" t="n"/>
      <c r="H336" s="12" t="n"/>
      <c r="I336" s="13" t="n"/>
      <c r="J336" s="13" t="n"/>
      <c r="K336" s="12" t="n"/>
      <c r="L336" s="13" t="n"/>
      <c r="M336" s="15">
        <f>IF($A336="","",IF($D336="",1,$D336)*$E336+$F336-$H336)</f>
        <v/>
      </c>
      <c r="N336" s="15">
        <f>IF($A336="","",IF($B336="Etsy",IF($D336="",1,$D336)*Settings!$C$19,0))</f>
        <v/>
      </c>
      <c r="O336" s="15">
        <f>IF($A336="","",IF($B336="Etsy",Settings!$C$20*($M336+IF(Settings!$C$54="Y",0,$H336)),0))</f>
        <v/>
      </c>
      <c r="P336" s="15">
        <f>IF($A336="","",IF($B336="Etsy",Settings!$C$21*$M336*(1+Settings!$C$55)+Settings!$C$22,IF($B336="Shopify",Settings!$C$14*$M336+Settings!$C$15,0)))</f>
        <v/>
      </c>
      <c r="Q336" s="15">
        <f>IF($A336="","",IF(AND($B336="Etsy",$I336="Y"),MIN(Settings!$C$12*($M336+IF(Settings!$C$54="Y",0,$H336)),Settings!$C$25),0))</f>
        <v/>
      </c>
      <c r="R336" s="15">
        <f>IF($A336="","",IF(AND($B336="Etsy",$J336="Y",$L336="Y",$M336&gt;0),($O336+Settings!$C$21*$M336*(1+Settings!$C$55)+IF(Settings!$C$59="Y",$Q336,0))*$T336/$M336+IF(AND(Settings!$C$58="Y",$T336&gt;=$M336),Settings!$C$22,0),0))</f>
        <v/>
      </c>
      <c r="S336" s="15">
        <f>IF($A336="","",$N336+$O336+$P336+$Q336-$R336)</f>
        <v/>
      </c>
      <c r="T336" s="15">
        <f>IF($A336="","",IF($J336="Y",IF($K336="",$M336,MIN($K336,$M336)),0))</f>
        <v/>
      </c>
      <c r="U336" s="15">
        <f>IF($A336="","",IF($D336="",1,$D336)*IFERROR(INDEX(Products!$F$5:$F$54,MATCH($C336,Products!$A$5:$A$54,0)),0))</f>
        <v/>
      </c>
      <c r="V336" s="27">
        <f>IF($A336="","",$M336-$T336-$S336-$U336-$G336)</f>
        <v/>
      </c>
      <c r="W336" s="31">
        <f>IF($A336="","",IF($M336-$T336&gt;0,$V336/($M336-$T336),""))</f>
        <v/>
      </c>
      <c r="X336" s="35">
        <f>IF($A336="","",DATE(YEAR($A336),MONTH($A336),1))</f>
        <v/>
      </c>
    </row>
    <row r="337">
      <c r="A337" s="18" t="n"/>
      <c r="B337" s="13" t="n"/>
      <c r="C337" s="13" t="n"/>
      <c r="D337" s="26" t="n"/>
      <c r="E337" s="12" t="n"/>
      <c r="F337" s="12" t="n"/>
      <c r="G337" s="12" t="n"/>
      <c r="H337" s="12" t="n"/>
      <c r="I337" s="13" t="n"/>
      <c r="J337" s="13" t="n"/>
      <c r="K337" s="12" t="n"/>
      <c r="L337" s="13" t="n"/>
      <c r="M337" s="15">
        <f>IF($A337="","",IF($D337="",1,$D337)*$E337+$F337-$H337)</f>
        <v/>
      </c>
      <c r="N337" s="15">
        <f>IF($A337="","",IF($B337="Etsy",IF($D337="",1,$D337)*Settings!$C$19,0))</f>
        <v/>
      </c>
      <c r="O337" s="15">
        <f>IF($A337="","",IF($B337="Etsy",Settings!$C$20*($M337+IF(Settings!$C$54="Y",0,$H337)),0))</f>
        <v/>
      </c>
      <c r="P337" s="15">
        <f>IF($A337="","",IF($B337="Etsy",Settings!$C$21*$M337*(1+Settings!$C$55)+Settings!$C$22,IF($B337="Shopify",Settings!$C$14*$M337+Settings!$C$15,0)))</f>
        <v/>
      </c>
      <c r="Q337" s="15">
        <f>IF($A337="","",IF(AND($B337="Etsy",$I337="Y"),MIN(Settings!$C$12*($M337+IF(Settings!$C$54="Y",0,$H337)),Settings!$C$25),0))</f>
        <v/>
      </c>
      <c r="R337" s="15">
        <f>IF($A337="","",IF(AND($B337="Etsy",$J337="Y",$L337="Y",$M337&gt;0),($O337+Settings!$C$21*$M337*(1+Settings!$C$55)+IF(Settings!$C$59="Y",$Q337,0))*$T337/$M337+IF(AND(Settings!$C$58="Y",$T337&gt;=$M337),Settings!$C$22,0),0))</f>
        <v/>
      </c>
      <c r="S337" s="15">
        <f>IF($A337="","",$N337+$O337+$P337+$Q337-$R337)</f>
        <v/>
      </c>
      <c r="T337" s="15">
        <f>IF($A337="","",IF($J337="Y",IF($K337="",$M337,MIN($K337,$M337)),0))</f>
        <v/>
      </c>
      <c r="U337" s="15">
        <f>IF($A337="","",IF($D337="",1,$D337)*IFERROR(INDEX(Products!$F$5:$F$54,MATCH($C337,Products!$A$5:$A$54,0)),0))</f>
        <v/>
      </c>
      <c r="V337" s="27">
        <f>IF($A337="","",$M337-$T337-$S337-$U337-$G337)</f>
        <v/>
      </c>
      <c r="W337" s="31">
        <f>IF($A337="","",IF($M337-$T337&gt;0,$V337/($M337-$T337),""))</f>
        <v/>
      </c>
      <c r="X337" s="35">
        <f>IF($A337="","",DATE(YEAR($A337),MONTH($A337),1))</f>
        <v/>
      </c>
    </row>
    <row r="338">
      <c r="A338" s="18" t="n"/>
      <c r="B338" s="13" t="n"/>
      <c r="C338" s="13" t="n"/>
      <c r="D338" s="26" t="n"/>
      <c r="E338" s="12" t="n"/>
      <c r="F338" s="12" t="n"/>
      <c r="G338" s="12" t="n"/>
      <c r="H338" s="12" t="n"/>
      <c r="I338" s="13" t="n"/>
      <c r="J338" s="13" t="n"/>
      <c r="K338" s="12" t="n"/>
      <c r="L338" s="13" t="n"/>
      <c r="M338" s="15">
        <f>IF($A338="","",IF($D338="",1,$D338)*$E338+$F338-$H338)</f>
        <v/>
      </c>
      <c r="N338" s="15">
        <f>IF($A338="","",IF($B338="Etsy",IF($D338="",1,$D338)*Settings!$C$19,0))</f>
        <v/>
      </c>
      <c r="O338" s="15">
        <f>IF($A338="","",IF($B338="Etsy",Settings!$C$20*($M338+IF(Settings!$C$54="Y",0,$H338)),0))</f>
        <v/>
      </c>
      <c r="P338" s="15">
        <f>IF($A338="","",IF($B338="Etsy",Settings!$C$21*$M338*(1+Settings!$C$55)+Settings!$C$22,IF($B338="Shopify",Settings!$C$14*$M338+Settings!$C$15,0)))</f>
        <v/>
      </c>
      <c r="Q338" s="15">
        <f>IF($A338="","",IF(AND($B338="Etsy",$I338="Y"),MIN(Settings!$C$12*($M338+IF(Settings!$C$54="Y",0,$H338)),Settings!$C$25),0))</f>
        <v/>
      </c>
      <c r="R338" s="15">
        <f>IF($A338="","",IF(AND($B338="Etsy",$J338="Y",$L338="Y",$M338&gt;0),($O338+Settings!$C$21*$M338*(1+Settings!$C$55)+IF(Settings!$C$59="Y",$Q338,0))*$T338/$M338+IF(AND(Settings!$C$58="Y",$T338&gt;=$M338),Settings!$C$22,0),0))</f>
        <v/>
      </c>
      <c r="S338" s="15">
        <f>IF($A338="","",$N338+$O338+$P338+$Q338-$R338)</f>
        <v/>
      </c>
      <c r="T338" s="15">
        <f>IF($A338="","",IF($J338="Y",IF($K338="",$M338,MIN($K338,$M338)),0))</f>
        <v/>
      </c>
      <c r="U338" s="15">
        <f>IF($A338="","",IF($D338="",1,$D338)*IFERROR(INDEX(Products!$F$5:$F$54,MATCH($C338,Products!$A$5:$A$54,0)),0))</f>
        <v/>
      </c>
      <c r="V338" s="27">
        <f>IF($A338="","",$M338-$T338-$S338-$U338-$G338)</f>
        <v/>
      </c>
      <c r="W338" s="31">
        <f>IF($A338="","",IF($M338-$T338&gt;0,$V338/($M338-$T338),""))</f>
        <v/>
      </c>
      <c r="X338" s="35">
        <f>IF($A338="","",DATE(YEAR($A338),MONTH($A338),1))</f>
        <v/>
      </c>
    </row>
    <row r="339">
      <c r="A339" s="18" t="n"/>
      <c r="B339" s="13" t="n"/>
      <c r="C339" s="13" t="n"/>
      <c r="D339" s="26" t="n"/>
      <c r="E339" s="12" t="n"/>
      <c r="F339" s="12" t="n"/>
      <c r="G339" s="12" t="n"/>
      <c r="H339" s="12" t="n"/>
      <c r="I339" s="13" t="n"/>
      <c r="J339" s="13" t="n"/>
      <c r="K339" s="12" t="n"/>
      <c r="L339" s="13" t="n"/>
      <c r="M339" s="15">
        <f>IF($A339="","",IF($D339="",1,$D339)*$E339+$F339-$H339)</f>
        <v/>
      </c>
      <c r="N339" s="15">
        <f>IF($A339="","",IF($B339="Etsy",IF($D339="",1,$D339)*Settings!$C$19,0))</f>
        <v/>
      </c>
      <c r="O339" s="15">
        <f>IF($A339="","",IF($B339="Etsy",Settings!$C$20*($M339+IF(Settings!$C$54="Y",0,$H339)),0))</f>
        <v/>
      </c>
      <c r="P339" s="15">
        <f>IF($A339="","",IF($B339="Etsy",Settings!$C$21*$M339*(1+Settings!$C$55)+Settings!$C$22,IF($B339="Shopify",Settings!$C$14*$M339+Settings!$C$15,0)))</f>
        <v/>
      </c>
      <c r="Q339" s="15">
        <f>IF($A339="","",IF(AND($B339="Etsy",$I339="Y"),MIN(Settings!$C$12*($M339+IF(Settings!$C$54="Y",0,$H339)),Settings!$C$25),0))</f>
        <v/>
      </c>
      <c r="R339" s="15">
        <f>IF($A339="","",IF(AND($B339="Etsy",$J339="Y",$L339="Y",$M339&gt;0),($O339+Settings!$C$21*$M339*(1+Settings!$C$55)+IF(Settings!$C$59="Y",$Q339,0))*$T339/$M339+IF(AND(Settings!$C$58="Y",$T339&gt;=$M339),Settings!$C$22,0),0))</f>
        <v/>
      </c>
      <c r="S339" s="15">
        <f>IF($A339="","",$N339+$O339+$P339+$Q339-$R339)</f>
        <v/>
      </c>
      <c r="T339" s="15">
        <f>IF($A339="","",IF($J339="Y",IF($K339="",$M339,MIN($K339,$M339)),0))</f>
        <v/>
      </c>
      <c r="U339" s="15">
        <f>IF($A339="","",IF($D339="",1,$D339)*IFERROR(INDEX(Products!$F$5:$F$54,MATCH($C339,Products!$A$5:$A$54,0)),0))</f>
        <v/>
      </c>
      <c r="V339" s="27">
        <f>IF($A339="","",$M339-$T339-$S339-$U339-$G339)</f>
        <v/>
      </c>
      <c r="W339" s="31">
        <f>IF($A339="","",IF($M339-$T339&gt;0,$V339/($M339-$T339),""))</f>
        <v/>
      </c>
      <c r="X339" s="35">
        <f>IF($A339="","",DATE(YEAR($A339),MONTH($A339),1))</f>
        <v/>
      </c>
    </row>
    <row r="340">
      <c r="A340" s="18" t="n"/>
      <c r="B340" s="13" t="n"/>
      <c r="C340" s="13" t="n"/>
      <c r="D340" s="26" t="n"/>
      <c r="E340" s="12" t="n"/>
      <c r="F340" s="12" t="n"/>
      <c r="G340" s="12" t="n"/>
      <c r="H340" s="12" t="n"/>
      <c r="I340" s="13" t="n"/>
      <c r="J340" s="13" t="n"/>
      <c r="K340" s="12" t="n"/>
      <c r="L340" s="13" t="n"/>
      <c r="M340" s="15">
        <f>IF($A340="","",IF($D340="",1,$D340)*$E340+$F340-$H340)</f>
        <v/>
      </c>
      <c r="N340" s="15">
        <f>IF($A340="","",IF($B340="Etsy",IF($D340="",1,$D340)*Settings!$C$19,0))</f>
        <v/>
      </c>
      <c r="O340" s="15">
        <f>IF($A340="","",IF($B340="Etsy",Settings!$C$20*($M340+IF(Settings!$C$54="Y",0,$H340)),0))</f>
        <v/>
      </c>
      <c r="P340" s="15">
        <f>IF($A340="","",IF($B340="Etsy",Settings!$C$21*$M340*(1+Settings!$C$55)+Settings!$C$22,IF($B340="Shopify",Settings!$C$14*$M340+Settings!$C$15,0)))</f>
        <v/>
      </c>
      <c r="Q340" s="15">
        <f>IF($A340="","",IF(AND($B340="Etsy",$I340="Y"),MIN(Settings!$C$12*($M340+IF(Settings!$C$54="Y",0,$H340)),Settings!$C$25),0))</f>
        <v/>
      </c>
      <c r="R340" s="15">
        <f>IF($A340="","",IF(AND($B340="Etsy",$J340="Y",$L340="Y",$M340&gt;0),($O340+Settings!$C$21*$M340*(1+Settings!$C$55)+IF(Settings!$C$59="Y",$Q340,0))*$T340/$M340+IF(AND(Settings!$C$58="Y",$T340&gt;=$M340),Settings!$C$22,0),0))</f>
        <v/>
      </c>
      <c r="S340" s="15">
        <f>IF($A340="","",$N340+$O340+$P340+$Q340-$R340)</f>
        <v/>
      </c>
      <c r="T340" s="15">
        <f>IF($A340="","",IF($J340="Y",IF($K340="",$M340,MIN($K340,$M340)),0))</f>
        <v/>
      </c>
      <c r="U340" s="15">
        <f>IF($A340="","",IF($D340="",1,$D340)*IFERROR(INDEX(Products!$F$5:$F$54,MATCH($C340,Products!$A$5:$A$54,0)),0))</f>
        <v/>
      </c>
      <c r="V340" s="27">
        <f>IF($A340="","",$M340-$T340-$S340-$U340-$G340)</f>
        <v/>
      </c>
      <c r="W340" s="31">
        <f>IF($A340="","",IF($M340-$T340&gt;0,$V340/($M340-$T340),""))</f>
        <v/>
      </c>
      <c r="X340" s="35">
        <f>IF($A340="","",DATE(YEAR($A340),MONTH($A340),1))</f>
        <v/>
      </c>
    </row>
    <row r="341">
      <c r="A341" s="18" t="n"/>
      <c r="B341" s="13" t="n"/>
      <c r="C341" s="13" t="n"/>
      <c r="D341" s="26" t="n"/>
      <c r="E341" s="12" t="n"/>
      <c r="F341" s="12" t="n"/>
      <c r="G341" s="12" t="n"/>
      <c r="H341" s="12" t="n"/>
      <c r="I341" s="13" t="n"/>
      <c r="J341" s="13" t="n"/>
      <c r="K341" s="12" t="n"/>
      <c r="L341" s="13" t="n"/>
      <c r="M341" s="15">
        <f>IF($A341="","",IF($D341="",1,$D341)*$E341+$F341-$H341)</f>
        <v/>
      </c>
      <c r="N341" s="15">
        <f>IF($A341="","",IF($B341="Etsy",IF($D341="",1,$D341)*Settings!$C$19,0))</f>
        <v/>
      </c>
      <c r="O341" s="15">
        <f>IF($A341="","",IF($B341="Etsy",Settings!$C$20*($M341+IF(Settings!$C$54="Y",0,$H341)),0))</f>
        <v/>
      </c>
      <c r="P341" s="15">
        <f>IF($A341="","",IF($B341="Etsy",Settings!$C$21*$M341*(1+Settings!$C$55)+Settings!$C$22,IF($B341="Shopify",Settings!$C$14*$M341+Settings!$C$15,0)))</f>
        <v/>
      </c>
      <c r="Q341" s="15">
        <f>IF($A341="","",IF(AND($B341="Etsy",$I341="Y"),MIN(Settings!$C$12*($M341+IF(Settings!$C$54="Y",0,$H341)),Settings!$C$25),0))</f>
        <v/>
      </c>
      <c r="R341" s="15">
        <f>IF($A341="","",IF(AND($B341="Etsy",$J341="Y",$L341="Y",$M341&gt;0),($O341+Settings!$C$21*$M341*(1+Settings!$C$55)+IF(Settings!$C$59="Y",$Q341,0))*$T341/$M341+IF(AND(Settings!$C$58="Y",$T341&gt;=$M341),Settings!$C$22,0),0))</f>
        <v/>
      </c>
      <c r="S341" s="15">
        <f>IF($A341="","",$N341+$O341+$P341+$Q341-$R341)</f>
        <v/>
      </c>
      <c r="T341" s="15">
        <f>IF($A341="","",IF($J341="Y",IF($K341="",$M341,MIN($K341,$M341)),0))</f>
        <v/>
      </c>
      <c r="U341" s="15">
        <f>IF($A341="","",IF($D341="",1,$D341)*IFERROR(INDEX(Products!$F$5:$F$54,MATCH($C341,Products!$A$5:$A$54,0)),0))</f>
        <v/>
      </c>
      <c r="V341" s="27">
        <f>IF($A341="","",$M341-$T341-$S341-$U341-$G341)</f>
        <v/>
      </c>
      <c r="W341" s="31">
        <f>IF($A341="","",IF($M341-$T341&gt;0,$V341/($M341-$T341),""))</f>
        <v/>
      </c>
      <c r="X341" s="35">
        <f>IF($A341="","",DATE(YEAR($A341),MONTH($A341),1))</f>
        <v/>
      </c>
    </row>
    <row r="342">
      <c r="A342" s="18" t="n"/>
      <c r="B342" s="13" t="n"/>
      <c r="C342" s="13" t="n"/>
      <c r="D342" s="26" t="n"/>
      <c r="E342" s="12" t="n"/>
      <c r="F342" s="12" t="n"/>
      <c r="G342" s="12" t="n"/>
      <c r="H342" s="12" t="n"/>
      <c r="I342" s="13" t="n"/>
      <c r="J342" s="13" t="n"/>
      <c r="K342" s="12" t="n"/>
      <c r="L342" s="13" t="n"/>
      <c r="M342" s="15">
        <f>IF($A342="","",IF($D342="",1,$D342)*$E342+$F342-$H342)</f>
        <v/>
      </c>
      <c r="N342" s="15">
        <f>IF($A342="","",IF($B342="Etsy",IF($D342="",1,$D342)*Settings!$C$19,0))</f>
        <v/>
      </c>
      <c r="O342" s="15">
        <f>IF($A342="","",IF($B342="Etsy",Settings!$C$20*($M342+IF(Settings!$C$54="Y",0,$H342)),0))</f>
        <v/>
      </c>
      <c r="P342" s="15">
        <f>IF($A342="","",IF($B342="Etsy",Settings!$C$21*$M342*(1+Settings!$C$55)+Settings!$C$22,IF($B342="Shopify",Settings!$C$14*$M342+Settings!$C$15,0)))</f>
        <v/>
      </c>
      <c r="Q342" s="15">
        <f>IF($A342="","",IF(AND($B342="Etsy",$I342="Y"),MIN(Settings!$C$12*($M342+IF(Settings!$C$54="Y",0,$H342)),Settings!$C$25),0))</f>
        <v/>
      </c>
      <c r="R342" s="15">
        <f>IF($A342="","",IF(AND($B342="Etsy",$J342="Y",$L342="Y",$M342&gt;0),($O342+Settings!$C$21*$M342*(1+Settings!$C$55)+IF(Settings!$C$59="Y",$Q342,0))*$T342/$M342+IF(AND(Settings!$C$58="Y",$T342&gt;=$M342),Settings!$C$22,0),0))</f>
        <v/>
      </c>
      <c r="S342" s="15">
        <f>IF($A342="","",$N342+$O342+$P342+$Q342-$R342)</f>
        <v/>
      </c>
      <c r="T342" s="15">
        <f>IF($A342="","",IF($J342="Y",IF($K342="",$M342,MIN($K342,$M342)),0))</f>
        <v/>
      </c>
      <c r="U342" s="15">
        <f>IF($A342="","",IF($D342="",1,$D342)*IFERROR(INDEX(Products!$F$5:$F$54,MATCH($C342,Products!$A$5:$A$54,0)),0))</f>
        <v/>
      </c>
      <c r="V342" s="27">
        <f>IF($A342="","",$M342-$T342-$S342-$U342-$G342)</f>
        <v/>
      </c>
      <c r="W342" s="31">
        <f>IF($A342="","",IF($M342-$T342&gt;0,$V342/($M342-$T342),""))</f>
        <v/>
      </c>
      <c r="X342" s="35">
        <f>IF($A342="","",DATE(YEAR($A342),MONTH($A342),1))</f>
        <v/>
      </c>
    </row>
    <row r="343">
      <c r="A343" s="18" t="n"/>
      <c r="B343" s="13" t="n"/>
      <c r="C343" s="13" t="n"/>
      <c r="D343" s="26" t="n"/>
      <c r="E343" s="12" t="n"/>
      <c r="F343" s="12" t="n"/>
      <c r="G343" s="12" t="n"/>
      <c r="H343" s="12" t="n"/>
      <c r="I343" s="13" t="n"/>
      <c r="J343" s="13" t="n"/>
      <c r="K343" s="12" t="n"/>
      <c r="L343" s="13" t="n"/>
      <c r="M343" s="15">
        <f>IF($A343="","",IF($D343="",1,$D343)*$E343+$F343-$H343)</f>
        <v/>
      </c>
      <c r="N343" s="15">
        <f>IF($A343="","",IF($B343="Etsy",IF($D343="",1,$D343)*Settings!$C$19,0))</f>
        <v/>
      </c>
      <c r="O343" s="15">
        <f>IF($A343="","",IF($B343="Etsy",Settings!$C$20*($M343+IF(Settings!$C$54="Y",0,$H343)),0))</f>
        <v/>
      </c>
      <c r="P343" s="15">
        <f>IF($A343="","",IF($B343="Etsy",Settings!$C$21*$M343*(1+Settings!$C$55)+Settings!$C$22,IF($B343="Shopify",Settings!$C$14*$M343+Settings!$C$15,0)))</f>
        <v/>
      </c>
      <c r="Q343" s="15">
        <f>IF($A343="","",IF(AND($B343="Etsy",$I343="Y"),MIN(Settings!$C$12*($M343+IF(Settings!$C$54="Y",0,$H343)),Settings!$C$25),0))</f>
        <v/>
      </c>
      <c r="R343" s="15">
        <f>IF($A343="","",IF(AND($B343="Etsy",$J343="Y",$L343="Y",$M343&gt;0),($O343+Settings!$C$21*$M343*(1+Settings!$C$55)+IF(Settings!$C$59="Y",$Q343,0))*$T343/$M343+IF(AND(Settings!$C$58="Y",$T343&gt;=$M343),Settings!$C$22,0),0))</f>
        <v/>
      </c>
      <c r="S343" s="15">
        <f>IF($A343="","",$N343+$O343+$P343+$Q343-$R343)</f>
        <v/>
      </c>
      <c r="T343" s="15">
        <f>IF($A343="","",IF($J343="Y",IF($K343="",$M343,MIN($K343,$M343)),0))</f>
        <v/>
      </c>
      <c r="U343" s="15">
        <f>IF($A343="","",IF($D343="",1,$D343)*IFERROR(INDEX(Products!$F$5:$F$54,MATCH($C343,Products!$A$5:$A$54,0)),0))</f>
        <v/>
      </c>
      <c r="V343" s="27">
        <f>IF($A343="","",$M343-$T343-$S343-$U343-$G343)</f>
        <v/>
      </c>
      <c r="W343" s="31">
        <f>IF($A343="","",IF($M343-$T343&gt;0,$V343/($M343-$T343),""))</f>
        <v/>
      </c>
      <c r="X343" s="35">
        <f>IF($A343="","",DATE(YEAR($A343),MONTH($A343),1))</f>
        <v/>
      </c>
    </row>
    <row r="344">
      <c r="A344" s="18" t="n"/>
      <c r="B344" s="13" t="n"/>
      <c r="C344" s="13" t="n"/>
      <c r="D344" s="26" t="n"/>
      <c r="E344" s="12" t="n"/>
      <c r="F344" s="12" t="n"/>
      <c r="G344" s="12" t="n"/>
      <c r="H344" s="12" t="n"/>
      <c r="I344" s="13" t="n"/>
      <c r="J344" s="13" t="n"/>
      <c r="K344" s="12" t="n"/>
      <c r="L344" s="13" t="n"/>
      <c r="M344" s="15">
        <f>IF($A344="","",IF($D344="",1,$D344)*$E344+$F344-$H344)</f>
        <v/>
      </c>
      <c r="N344" s="15">
        <f>IF($A344="","",IF($B344="Etsy",IF($D344="",1,$D344)*Settings!$C$19,0))</f>
        <v/>
      </c>
      <c r="O344" s="15">
        <f>IF($A344="","",IF($B344="Etsy",Settings!$C$20*($M344+IF(Settings!$C$54="Y",0,$H344)),0))</f>
        <v/>
      </c>
      <c r="P344" s="15">
        <f>IF($A344="","",IF($B344="Etsy",Settings!$C$21*$M344*(1+Settings!$C$55)+Settings!$C$22,IF($B344="Shopify",Settings!$C$14*$M344+Settings!$C$15,0)))</f>
        <v/>
      </c>
      <c r="Q344" s="15">
        <f>IF($A344="","",IF(AND($B344="Etsy",$I344="Y"),MIN(Settings!$C$12*($M344+IF(Settings!$C$54="Y",0,$H344)),Settings!$C$25),0))</f>
        <v/>
      </c>
      <c r="R344" s="15">
        <f>IF($A344="","",IF(AND($B344="Etsy",$J344="Y",$L344="Y",$M344&gt;0),($O344+Settings!$C$21*$M344*(1+Settings!$C$55)+IF(Settings!$C$59="Y",$Q344,0))*$T344/$M344+IF(AND(Settings!$C$58="Y",$T344&gt;=$M344),Settings!$C$22,0),0))</f>
        <v/>
      </c>
      <c r="S344" s="15">
        <f>IF($A344="","",$N344+$O344+$P344+$Q344-$R344)</f>
        <v/>
      </c>
      <c r="T344" s="15">
        <f>IF($A344="","",IF($J344="Y",IF($K344="",$M344,MIN($K344,$M344)),0))</f>
        <v/>
      </c>
      <c r="U344" s="15">
        <f>IF($A344="","",IF($D344="",1,$D344)*IFERROR(INDEX(Products!$F$5:$F$54,MATCH($C344,Products!$A$5:$A$54,0)),0))</f>
        <v/>
      </c>
      <c r="V344" s="27">
        <f>IF($A344="","",$M344-$T344-$S344-$U344-$G344)</f>
        <v/>
      </c>
      <c r="W344" s="31">
        <f>IF($A344="","",IF($M344-$T344&gt;0,$V344/($M344-$T344),""))</f>
        <v/>
      </c>
      <c r="X344" s="35">
        <f>IF($A344="","",DATE(YEAR($A344),MONTH($A344),1))</f>
        <v/>
      </c>
    </row>
    <row r="345">
      <c r="A345" s="18" t="n"/>
      <c r="B345" s="13" t="n"/>
      <c r="C345" s="13" t="n"/>
      <c r="D345" s="26" t="n"/>
      <c r="E345" s="12" t="n"/>
      <c r="F345" s="12" t="n"/>
      <c r="G345" s="12" t="n"/>
      <c r="H345" s="12" t="n"/>
      <c r="I345" s="13" t="n"/>
      <c r="J345" s="13" t="n"/>
      <c r="K345" s="12" t="n"/>
      <c r="L345" s="13" t="n"/>
      <c r="M345" s="15">
        <f>IF($A345="","",IF($D345="",1,$D345)*$E345+$F345-$H345)</f>
        <v/>
      </c>
      <c r="N345" s="15">
        <f>IF($A345="","",IF($B345="Etsy",IF($D345="",1,$D345)*Settings!$C$19,0))</f>
        <v/>
      </c>
      <c r="O345" s="15">
        <f>IF($A345="","",IF($B345="Etsy",Settings!$C$20*($M345+IF(Settings!$C$54="Y",0,$H345)),0))</f>
        <v/>
      </c>
      <c r="P345" s="15">
        <f>IF($A345="","",IF($B345="Etsy",Settings!$C$21*$M345*(1+Settings!$C$55)+Settings!$C$22,IF($B345="Shopify",Settings!$C$14*$M345+Settings!$C$15,0)))</f>
        <v/>
      </c>
      <c r="Q345" s="15">
        <f>IF($A345="","",IF(AND($B345="Etsy",$I345="Y"),MIN(Settings!$C$12*($M345+IF(Settings!$C$54="Y",0,$H345)),Settings!$C$25),0))</f>
        <v/>
      </c>
      <c r="R345" s="15">
        <f>IF($A345="","",IF(AND($B345="Etsy",$J345="Y",$L345="Y",$M345&gt;0),($O345+Settings!$C$21*$M345*(1+Settings!$C$55)+IF(Settings!$C$59="Y",$Q345,0))*$T345/$M345+IF(AND(Settings!$C$58="Y",$T345&gt;=$M345),Settings!$C$22,0),0))</f>
        <v/>
      </c>
      <c r="S345" s="15">
        <f>IF($A345="","",$N345+$O345+$P345+$Q345-$R345)</f>
        <v/>
      </c>
      <c r="T345" s="15">
        <f>IF($A345="","",IF($J345="Y",IF($K345="",$M345,MIN($K345,$M345)),0))</f>
        <v/>
      </c>
      <c r="U345" s="15">
        <f>IF($A345="","",IF($D345="",1,$D345)*IFERROR(INDEX(Products!$F$5:$F$54,MATCH($C345,Products!$A$5:$A$54,0)),0))</f>
        <v/>
      </c>
      <c r="V345" s="27">
        <f>IF($A345="","",$M345-$T345-$S345-$U345-$G345)</f>
        <v/>
      </c>
      <c r="W345" s="31">
        <f>IF($A345="","",IF($M345-$T345&gt;0,$V345/($M345-$T345),""))</f>
        <v/>
      </c>
      <c r="X345" s="35">
        <f>IF($A345="","",DATE(YEAR($A345),MONTH($A345),1))</f>
        <v/>
      </c>
    </row>
    <row r="346">
      <c r="A346" s="18" t="n"/>
      <c r="B346" s="13" t="n"/>
      <c r="C346" s="13" t="n"/>
      <c r="D346" s="26" t="n"/>
      <c r="E346" s="12" t="n"/>
      <c r="F346" s="12" t="n"/>
      <c r="G346" s="12" t="n"/>
      <c r="H346" s="12" t="n"/>
      <c r="I346" s="13" t="n"/>
      <c r="J346" s="13" t="n"/>
      <c r="K346" s="12" t="n"/>
      <c r="L346" s="13" t="n"/>
      <c r="M346" s="15">
        <f>IF($A346="","",IF($D346="",1,$D346)*$E346+$F346-$H346)</f>
        <v/>
      </c>
      <c r="N346" s="15">
        <f>IF($A346="","",IF($B346="Etsy",IF($D346="",1,$D346)*Settings!$C$19,0))</f>
        <v/>
      </c>
      <c r="O346" s="15">
        <f>IF($A346="","",IF($B346="Etsy",Settings!$C$20*($M346+IF(Settings!$C$54="Y",0,$H346)),0))</f>
        <v/>
      </c>
      <c r="P346" s="15">
        <f>IF($A346="","",IF($B346="Etsy",Settings!$C$21*$M346*(1+Settings!$C$55)+Settings!$C$22,IF($B346="Shopify",Settings!$C$14*$M346+Settings!$C$15,0)))</f>
        <v/>
      </c>
      <c r="Q346" s="15">
        <f>IF($A346="","",IF(AND($B346="Etsy",$I346="Y"),MIN(Settings!$C$12*($M346+IF(Settings!$C$54="Y",0,$H346)),Settings!$C$25),0))</f>
        <v/>
      </c>
      <c r="R346" s="15">
        <f>IF($A346="","",IF(AND($B346="Etsy",$J346="Y",$L346="Y",$M346&gt;0),($O346+Settings!$C$21*$M346*(1+Settings!$C$55)+IF(Settings!$C$59="Y",$Q346,0))*$T346/$M346+IF(AND(Settings!$C$58="Y",$T346&gt;=$M346),Settings!$C$22,0),0))</f>
        <v/>
      </c>
      <c r="S346" s="15">
        <f>IF($A346="","",$N346+$O346+$P346+$Q346-$R346)</f>
        <v/>
      </c>
      <c r="T346" s="15">
        <f>IF($A346="","",IF($J346="Y",IF($K346="",$M346,MIN($K346,$M346)),0))</f>
        <v/>
      </c>
      <c r="U346" s="15">
        <f>IF($A346="","",IF($D346="",1,$D346)*IFERROR(INDEX(Products!$F$5:$F$54,MATCH($C346,Products!$A$5:$A$54,0)),0))</f>
        <v/>
      </c>
      <c r="V346" s="27">
        <f>IF($A346="","",$M346-$T346-$S346-$U346-$G346)</f>
        <v/>
      </c>
      <c r="W346" s="31">
        <f>IF($A346="","",IF($M346-$T346&gt;0,$V346/($M346-$T346),""))</f>
        <v/>
      </c>
      <c r="X346" s="35">
        <f>IF($A346="","",DATE(YEAR($A346),MONTH($A346),1))</f>
        <v/>
      </c>
    </row>
    <row r="347">
      <c r="A347" s="18" t="n"/>
      <c r="B347" s="13" t="n"/>
      <c r="C347" s="13" t="n"/>
      <c r="D347" s="26" t="n"/>
      <c r="E347" s="12" t="n"/>
      <c r="F347" s="12" t="n"/>
      <c r="G347" s="12" t="n"/>
      <c r="H347" s="12" t="n"/>
      <c r="I347" s="13" t="n"/>
      <c r="J347" s="13" t="n"/>
      <c r="K347" s="12" t="n"/>
      <c r="L347" s="13" t="n"/>
      <c r="M347" s="15">
        <f>IF($A347="","",IF($D347="",1,$D347)*$E347+$F347-$H347)</f>
        <v/>
      </c>
      <c r="N347" s="15">
        <f>IF($A347="","",IF($B347="Etsy",IF($D347="",1,$D347)*Settings!$C$19,0))</f>
        <v/>
      </c>
      <c r="O347" s="15">
        <f>IF($A347="","",IF($B347="Etsy",Settings!$C$20*($M347+IF(Settings!$C$54="Y",0,$H347)),0))</f>
        <v/>
      </c>
      <c r="P347" s="15">
        <f>IF($A347="","",IF($B347="Etsy",Settings!$C$21*$M347*(1+Settings!$C$55)+Settings!$C$22,IF($B347="Shopify",Settings!$C$14*$M347+Settings!$C$15,0)))</f>
        <v/>
      </c>
      <c r="Q347" s="15">
        <f>IF($A347="","",IF(AND($B347="Etsy",$I347="Y"),MIN(Settings!$C$12*($M347+IF(Settings!$C$54="Y",0,$H347)),Settings!$C$25),0))</f>
        <v/>
      </c>
      <c r="R347" s="15">
        <f>IF($A347="","",IF(AND($B347="Etsy",$J347="Y",$L347="Y",$M347&gt;0),($O347+Settings!$C$21*$M347*(1+Settings!$C$55)+IF(Settings!$C$59="Y",$Q347,0))*$T347/$M347+IF(AND(Settings!$C$58="Y",$T347&gt;=$M347),Settings!$C$22,0),0))</f>
        <v/>
      </c>
      <c r="S347" s="15">
        <f>IF($A347="","",$N347+$O347+$P347+$Q347-$R347)</f>
        <v/>
      </c>
      <c r="T347" s="15">
        <f>IF($A347="","",IF($J347="Y",IF($K347="",$M347,MIN($K347,$M347)),0))</f>
        <v/>
      </c>
      <c r="U347" s="15">
        <f>IF($A347="","",IF($D347="",1,$D347)*IFERROR(INDEX(Products!$F$5:$F$54,MATCH($C347,Products!$A$5:$A$54,0)),0))</f>
        <v/>
      </c>
      <c r="V347" s="27">
        <f>IF($A347="","",$M347-$T347-$S347-$U347-$G347)</f>
        <v/>
      </c>
      <c r="W347" s="31">
        <f>IF($A347="","",IF($M347-$T347&gt;0,$V347/($M347-$T347),""))</f>
        <v/>
      </c>
      <c r="X347" s="35">
        <f>IF($A347="","",DATE(YEAR($A347),MONTH($A347),1))</f>
        <v/>
      </c>
    </row>
    <row r="348">
      <c r="A348" s="18" t="n"/>
      <c r="B348" s="13" t="n"/>
      <c r="C348" s="13" t="n"/>
      <c r="D348" s="26" t="n"/>
      <c r="E348" s="12" t="n"/>
      <c r="F348" s="12" t="n"/>
      <c r="G348" s="12" t="n"/>
      <c r="H348" s="12" t="n"/>
      <c r="I348" s="13" t="n"/>
      <c r="J348" s="13" t="n"/>
      <c r="K348" s="12" t="n"/>
      <c r="L348" s="13" t="n"/>
      <c r="M348" s="15">
        <f>IF($A348="","",IF($D348="",1,$D348)*$E348+$F348-$H348)</f>
        <v/>
      </c>
      <c r="N348" s="15">
        <f>IF($A348="","",IF($B348="Etsy",IF($D348="",1,$D348)*Settings!$C$19,0))</f>
        <v/>
      </c>
      <c r="O348" s="15">
        <f>IF($A348="","",IF($B348="Etsy",Settings!$C$20*($M348+IF(Settings!$C$54="Y",0,$H348)),0))</f>
        <v/>
      </c>
      <c r="P348" s="15">
        <f>IF($A348="","",IF($B348="Etsy",Settings!$C$21*$M348*(1+Settings!$C$55)+Settings!$C$22,IF($B348="Shopify",Settings!$C$14*$M348+Settings!$C$15,0)))</f>
        <v/>
      </c>
      <c r="Q348" s="15">
        <f>IF($A348="","",IF(AND($B348="Etsy",$I348="Y"),MIN(Settings!$C$12*($M348+IF(Settings!$C$54="Y",0,$H348)),Settings!$C$25),0))</f>
        <v/>
      </c>
      <c r="R348" s="15">
        <f>IF($A348="","",IF(AND($B348="Etsy",$J348="Y",$L348="Y",$M348&gt;0),($O348+Settings!$C$21*$M348*(1+Settings!$C$55)+IF(Settings!$C$59="Y",$Q348,0))*$T348/$M348+IF(AND(Settings!$C$58="Y",$T348&gt;=$M348),Settings!$C$22,0),0))</f>
        <v/>
      </c>
      <c r="S348" s="15">
        <f>IF($A348="","",$N348+$O348+$P348+$Q348-$R348)</f>
        <v/>
      </c>
      <c r="T348" s="15">
        <f>IF($A348="","",IF($J348="Y",IF($K348="",$M348,MIN($K348,$M348)),0))</f>
        <v/>
      </c>
      <c r="U348" s="15">
        <f>IF($A348="","",IF($D348="",1,$D348)*IFERROR(INDEX(Products!$F$5:$F$54,MATCH($C348,Products!$A$5:$A$54,0)),0))</f>
        <v/>
      </c>
      <c r="V348" s="27">
        <f>IF($A348="","",$M348-$T348-$S348-$U348-$G348)</f>
        <v/>
      </c>
      <c r="W348" s="31">
        <f>IF($A348="","",IF($M348-$T348&gt;0,$V348/($M348-$T348),""))</f>
        <v/>
      </c>
      <c r="X348" s="35">
        <f>IF($A348="","",DATE(YEAR($A348),MONTH($A348),1))</f>
        <v/>
      </c>
    </row>
    <row r="349">
      <c r="A349" s="18" t="n"/>
      <c r="B349" s="13" t="n"/>
      <c r="C349" s="13" t="n"/>
      <c r="D349" s="26" t="n"/>
      <c r="E349" s="12" t="n"/>
      <c r="F349" s="12" t="n"/>
      <c r="G349" s="12" t="n"/>
      <c r="H349" s="12" t="n"/>
      <c r="I349" s="13" t="n"/>
      <c r="J349" s="13" t="n"/>
      <c r="K349" s="12" t="n"/>
      <c r="L349" s="13" t="n"/>
      <c r="M349" s="15">
        <f>IF($A349="","",IF($D349="",1,$D349)*$E349+$F349-$H349)</f>
        <v/>
      </c>
      <c r="N349" s="15">
        <f>IF($A349="","",IF($B349="Etsy",IF($D349="",1,$D349)*Settings!$C$19,0))</f>
        <v/>
      </c>
      <c r="O349" s="15">
        <f>IF($A349="","",IF($B349="Etsy",Settings!$C$20*($M349+IF(Settings!$C$54="Y",0,$H349)),0))</f>
        <v/>
      </c>
      <c r="P349" s="15">
        <f>IF($A349="","",IF($B349="Etsy",Settings!$C$21*$M349*(1+Settings!$C$55)+Settings!$C$22,IF($B349="Shopify",Settings!$C$14*$M349+Settings!$C$15,0)))</f>
        <v/>
      </c>
      <c r="Q349" s="15">
        <f>IF($A349="","",IF(AND($B349="Etsy",$I349="Y"),MIN(Settings!$C$12*($M349+IF(Settings!$C$54="Y",0,$H349)),Settings!$C$25),0))</f>
        <v/>
      </c>
      <c r="R349" s="15">
        <f>IF($A349="","",IF(AND($B349="Etsy",$J349="Y",$L349="Y",$M349&gt;0),($O349+Settings!$C$21*$M349*(1+Settings!$C$55)+IF(Settings!$C$59="Y",$Q349,0))*$T349/$M349+IF(AND(Settings!$C$58="Y",$T349&gt;=$M349),Settings!$C$22,0),0))</f>
        <v/>
      </c>
      <c r="S349" s="15">
        <f>IF($A349="","",$N349+$O349+$P349+$Q349-$R349)</f>
        <v/>
      </c>
      <c r="T349" s="15">
        <f>IF($A349="","",IF($J349="Y",IF($K349="",$M349,MIN($K349,$M349)),0))</f>
        <v/>
      </c>
      <c r="U349" s="15">
        <f>IF($A349="","",IF($D349="",1,$D349)*IFERROR(INDEX(Products!$F$5:$F$54,MATCH($C349,Products!$A$5:$A$54,0)),0))</f>
        <v/>
      </c>
      <c r="V349" s="27">
        <f>IF($A349="","",$M349-$T349-$S349-$U349-$G349)</f>
        <v/>
      </c>
      <c r="W349" s="31">
        <f>IF($A349="","",IF($M349-$T349&gt;0,$V349/($M349-$T349),""))</f>
        <v/>
      </c>
      <c r="X349" s="35">
        <f>IF($A349="","",DATE(YEAR($A349),MONTH($A349),1))</f>
        <v/>
      </c>
    </row>
    <row r="350">
      <c r="A350" s="18" t="n"/>
      <c r="B350" s="13" t="n"/>
      <c r="C350" s="13" t="n"/>
      <c r="D350" s="26" t="n"/>
      <c r="E350" s="12" t="n"/>
      <c r="F350" s="12" t="n"/>
      <c r="G350" s="12" t="n"/>
      <c r="H350" s="12" t="n"/>
      <c r="I350" s="13" t="n"/>
      <c r="J350" s="13" t="n"/>
      <c r="K350" s="12" t="n"/>
      <c r="L350" s="13" t="n"/>
      <c r="M350" s="15">
        <f>IF($A350="","",IF($D350="",1,$D350)*$E350+$F350-$H350)</f>
        <v/>
      </c>
      <c r="N350" s="15">
        <f>IF($A350="","",IF($B350="Etsy",IF($D350="",1,$D350)*Settings!$C$19,0))</f>
        <v/>
      </c>
      <c r="O350" s="15">
        <f>IF($A350="","",IF($B350="Etsy",Settings!$C$20*($M350+IF(Settings!$C$54="Y",0,$H350)),0))</f>
        <v/>
      </c>
      <c r="P350" s="15">
        <f>IF($A350="","",IF($B350="Etsy",Settings!$C$21*$M350*(1+Settings!$C$55)+Settings!$C$22,IF($B350="Shopify",Settings!$C$14*$M350+Settings!$C$15,0)))</f>
        <v/>
      </c>
      <c r="Q350" s="15">
        <f>IF($A350="","",IF(AND($B350="Etsy",$I350="Y"),MIN(Settings!$C$12*($M350+IF(Settings!$C$54="Y",0,$H350)),Settings!$C$25),0))</f>
        <v/>
      </c>
      <c r="R350" s="15">
        <f>IF($A350="","",IF(AND($B350="Etsy",$J350="Y",$L350="Y",$M350&gt;0),($O350+Settings!$C$21*$M350*(1+Settings!$C$55)+IF(Settings!$C$59="Y",$Q350,0))*$T350/$M350+IF(AND(Settings!$C$58="Y",$T350&gt;=$M350),Settings!$C$22,0),0))</f>
        <v/>
      </c>
      <c r="S350" s="15">
        <f>IF($A350="","",$N350+$O350+$P350+$Q350-$R350)</f>
        <v/>
      </c>
      <c r="T350" s="15">
        <f>IF($A350="","",IF($J350="Y",IF($K350="",$M350,MIN($K350,$M350)),0))</f>
        <v/>
      </c>
      <c r="U350" s="15">
        <f>IF($A350="","",IF($D350="",1,$D350)*IFERROR(INDEX(Products!$F$5:$F$54,MATCH($C350,Products!$A$5:$A$54,0)),0))</f>
        <v/>
      </c>
      <c r="V350" s="27">
        <f>IF($A350="","",$M350-$T350-$S350-$U350-$G350)</f>
        <v/>
      </c>
      <c r="W350" s="31">
        <f>IF($A350="","",IF($M350-$T350&gt;0,$V350/($M350-$T350),""))</f>
        <v/>
      </c>
      <c r="X350" s="35">
        <f>IF($A350="","",DATE(YEAR($A350),MONTH($A350),1))</f>
        <v/>
      </c>
    </row>
    <row r="351">
      <c r="A351" s="18" t="n"/>
      <c r="B351" s="13" t="n"/>
      <c r="C351" s="13" t="n"/>
      <c r="D351" s="26" t="n"/>
      <c r="E351" s="12" t="n"/>
      <c r="F351" s="12" t="n"/>
      <c r="G351" s="12" t="n"/>
      <c r="H351" s="12" t="n"/>
      <c r="I351" s="13" t="n"/>
      <c r="J351" s="13" t="n"/>
      <c r="K351" s="12" t="n"/>
      <c r="L351" s="13" t="n"/>
      <c r="M351" s="15">
        <f>IF($A351="","",IF($D351="",1,$D351)*$E351+$F351-$H351)</f>
        <v/>
      </c>
      <c r="N351" s="15">
        <f>IF($A351="","",IF($B351="Etsy",IF($D351="",1,$D351)*Settings!$C$19,0))</f>
        <v/>
      </c>
      <c r="O351" s="15">
        <f>IF($A351="","",IF($B351="Etsy",Settings!$C$20*($M351+IF(Settings!$C$54="Y",0,$H351)),0))</f>
        <v/>
      </c>
      <c r="P351" s="15">
        <f>IF($A351="","",IF($B351="Etsy",Settings!$C$21*$M351*(1+Settings!$C$55)+Settings!$C$22,IF($B351="Shopify",Settings!$C$14*$M351+Settings!$C$15,0)))</f>
        <v/>
      </c>
      <c r="Q351" s="15">
        <f>IF($A351="","",IF(AND($B351="Etsy",$I351="Y"),MIN(Settings!$C$12*($M351+IF(Settings!$C$54="Y",0,$H351)),Settings!$C$25),0))</f>
        <v/>
      </c>
      <c r="R351" s="15">
        <f>IF($A351="","",IF(AND($B351="Etsy",$J351="Y",$L351="Y",$M351&gt;0),($O351+Settings!$C$21*$M351*(1+Settings!$C$55)+IF(Settings!$C$59="Y",$Q351,0))*$T351/$M351+IF(AND(Settings!$C$58="Y",$T351&gt;=$M351),Settings!$C$22,0),0))</f>
        <v/>
      </c>
      <c r="S351" s="15">
        <f>IF($A351="","",$N351+$O351+$P351+$Q351-$R351)</f>
        <v/>
      </c>
      <c r="T351" s="15">
        <f>IF($A351="","",IF($J351="Y",IF($K351="",$M351,MIN($K351,$M351)),0))</f>
        <v/>
      </c>
      <c r="U351" s="15">
        <f>IF($A351="","",IF($D351="",1,$D351)*IFERROR(INDEX(Products!$F$5:$F$54,MATCH($C351,Products!$A$5:$A$54,0)),0))</f>
        <v/>
      </c>
      <c r="V351" s="27">
        <f>IF($A351="","",$M351-$T351-$S351-$U351-$G351)</f>
        <v/>
      </c>
      <c r="W351" s="31">
        <f>IF($A351="","",IF($M351-$T351&gt;0,$V351/($M351-$T351),""))</f>
        <v/>
      </c>
      <c r="X351" s="35">
        <f>IF($A351="","",DATE(YEAR($A351),MONTH($A351),1))</f>
        <v/>
      </c>
    </row>
    <row r="352">
      <c r="A352" s="18" t="n"/>
      <c r="B352" s="13" t="n"/>
      <c r="C352" s="13" t="n"/>
      <c r="D352" s="26" t="n"/>
      <c r="E352" s="12" t="n"/>
      <c r="F352" s="12" t="n"/>
      <c r="G352" s="12" t="n"/>
      <c r="H352" s="12" t="n"/>
      <c r="I352" s="13" t="n"/>
      <c r="J352" s="13" t="n"/>
      <c r="K352" s="12" t="n"/>
      <c r="L352" s="13" t="n"/>
      <c r="M352" s="15">
        <f>IF($A352="","",IF($D352="",1,$D352)*$E352+$F352-$H352)</f>
        <v/>
      </c>
      <c r="N352" s="15">
        <f>IF($A352="","",IF($B352="Etsy",IF($D352="",1,$D352)*Settings!$C$19,0))</f>
        <v/>
      </c>
      <c r="O352" s="15">
        <f>IF($A352="","",IF($B352="Etsy",Settings!$C$20*($M352+IF(Settings!$C$54="Y",0,$H352)),0))</f>
        <v/>
      </c>
      <c r="P352" s="15">
        <f>IF($A352="","",IF($B352="Etsy",Settings!$C$21*$M352*(1+Settings!$C$55)+Settings!$C$22,IF($B352="Shopify",Settings!$C$14*$M352+Settings!$C$15,0)))</f>
        <v/>
      </c>
      <c r="Q352" s="15">
        <f>IF($A352="","",IF(AND($B352="Etsy",$I352="Y"),MIN(Settings!$C$12*($M352+IF(Settings!$C$54="Y",0,$H352)),Settings!$C$25),0))</f>
        <v/>
      </c>
      <c r="R352" s="15">
        <f>IF($A352="","",IF(AND($B352="Etsy",$J352="Y",$L352="Y",$M352&gt;0),($O352+Settings!$C$21*$M352*(1+Settings!$C$55)+IF(Settings!$C$59="Y",$Q352,0))*$T352/$M352+IF(AND(Settings!$C$58="Y",$T352&gt;=$M352),Settings!$C$22,0),0))</f>
        <v/>
      </c>
      <c r="S352" s="15">
        <f>IF($A352="","",$N352+$O352+$P352+$Q352-$R352)</f>
        <v/>
      </c>
      <c r="T352" s="15">
        <f>IF($A352="","",IF($J352="Y",IF($K352="",$M352,MIN($K352,$M352)),0))</f>
        <v/>
      </c>
      <c r="U352" s="15">
        <f>IF($A352="","",IF($D352="",1,$D352)*IFERROR(INDEX(Products!$F$5:$F$54,MATCH($C352,Products!$A$5:$A$54,0)),0))</f>
        <v/>
      </c>
      <c r="V352" s="27">
        <f>IF($A352="","",$M352-$T352-$S352-$U352-$G352)</f>
        <v/>
      </c>
      <c r="W352" s="31">
        <f>IF($A352="","",IF($M352-$T352&gt;0,$V352/($M352-$T352),""))</f>
        <v/>
      </c>
      <c r="X352" s="35">
        <f>IF($A352="","",DATE(YEAR($A352),MONTH($A352),1))</f>
        <v/>
      </c>
    </row>
    <row r="353">
      <c r="A353" s="18" t="n"/>
      <c r="B353" s="13" t="n"/>
      <c r="C353" s="13" t="n"/>
      <c r="D353" s="26" t="n"/>
      <c r="E353" s="12" t="n"/>
      <c r="F353" s="12" t="n"/>
      <c r="G353" s="12" t="n"/>
      <c r="H353" s="12" t="n"/>
      <c r="I353" s="13" t="n"/>
      <c r="J353" s="13" t="n"/>
      <c r="K353" s="12" t="n"/>
      <c r="L353" s="13" t="n"/>
      <c r="M353" s="15">
        <f>IF($A353="","",IF($D353="",1,$D353)*$E353+$F353-$H353)</f>
        <v/>
      </c>
      <c r="N353" s="15">
        <f>IF($A353="","",IF($B353="Etsy",IF($D353="",1,$D353)*Settings!$C$19,0))</f>
        <v/>
      </c>
      <c r="O353" s="15">
        <f>IF($A353="","",IF($B353="Etsy",Settings!$C$20*($M353+IF(Settings!$C$54="Y",0,$H353)),0))</f>
        <v/>
      </c>
      <c r="P353" s="15">
        <f>IF($A353="","",IF($B353="Etsy",Settings!$C$21*$M353*(1+Settings!$C$55)+Settings!$C$22,IF($B353="Shopify",Settings!$C$14*$M353+Settings!$C$15,0)))</f>
        <v/>
      </c>
      <c r="Q353" s="15">
        <f>IF($A353="","",IF(AND($B353="Etsy",$I353="Y"),MIN(Settings!$C$12*($M353+IF(Settings!$C$54="Y",0,$H353)),Settings!$C$25),0))</f>
        <v/>
      </c>
      <c r="R353" s="15">
        <f>IF($A353="","",IF(AND($B353="Etsy",$J353="Y",$L353="Y",$M353&gt;0),($O353+Settings!$C$21*$M353*(1+Settings!$C$55)+IF(Settings!$C$59="Y",$Q353,0))*$T353/$M353+IF(AND(Settings!$C$58="Y",$T353&gt;=$M353),Settings!$C$22,0),0))</f>
        <v/>
      </c>
      <c r="S353" s="15">
        <f>IF($A353="","",$N353+$O353+$P353+$Q353-$R353)</f>
        <v/>
      </c>
      <c r="T353" s="15">
        <f>IF($A353="","",IF($J353="Y",IF($K353="",$M353,MIN($K353,$M353)),0))</f>
        <v/>
      </c>
      <c r="U353" s="15">
        <f>IF($A353="","",IF($D353="",1,$D353)*IFERROR(INDEX(Products!$F$5:$F$54,MATCH($C353,Products!$A$5:$A$54,0)),0))</f>
        <v/>
      </c>
      <c r="V353" s="27">
        <f>IF($A353="","",$M353-$T353-$S353-$U353-$G353)</f>
        <v/>
      </c>
      <c r="W353" s="31">
        <f>IF($A353="","",IF($M353-$T353&gt;0,$V353/($M353-$T353),""))</f>
        <v/>
      </c>
      <c r="X353" s="35">
        <f>IF($A353="","",DATE(YEAR($A353),MONTH($A353),1))</f>
        <v/>
      </c>
    </row>
    <row r="354">
      <c r="A354" s="18" t="n"/>
      <c r="B354" s="13" t="n"/>
      <c r="C354" s="13" t="n"/>
      <c r="D354" s="26" t="n"/>
      <c r="E354" s="12" t="n"/>
      <c r="F354" s="12" t="n"/>
      <c r="G354" s="12" t="n"/>
      <c r="H354" s="12" t="n"/>
      <c r="I354" s="13" t="n"/>
      <c r="J354" s="13" t="n"/>
      <c r="K354" s="12" t="n"/>
      <c r="L354" s="13" t="n"/>
      <c r="M354" s="15">
        <f>IF($A354="","",IF($D354="",1,$D354)*$E354+$F354-$H354)</f>
        <v/>
      </c>
      <c r="N354" s="15">
        <f>IF($A354="","",IF($B354="Etsy",IF($D354="",1,$D354)*Settings!$C$19,0))</f>
        <v/>
      </c>
      <c r="O354" s="15">
        <f>IF($A354="","",IF($B354="Etsy",Settings!$C$20*($M354+IF(Settings!$C$54="Y",0,$H354)),0))</f>
        <v/>
      </c>
      <c r="P354" s="15">
        <f>IF($A354="","",IF($B354="Etsy",Settings!$C$21*$M354*(1+Settings!$C$55)+Settings!$C$22,IF($B354="Shopify",Settings!$C$14*$M354+Settings!$C$15,0)))</f>
        <v/>
      </c>
      <c r="Q354" s="15">
        <f>IF($A354="","",IF(AND($B354="Etsy",$I354="Y"),MIN(Settings!$C$12*($M354+IF(Settings!$C$54="Y",0,$H354)),Settings!$C$25),0))</f>
        <v/>
      </c>
      <c r="R354" s="15">
        <f>IF($A354="","",IF(AND($B354="Etsy",$J354="Y",$L354="Y",$M354&gt;0),($O354+Settings!$C$21*$M354*(1+Settings!$C$55)+IF(Settings!$C$59="Y",$Q354,0))*$T354/$M354+IF(AND(Settings!$C$58="Y",$T354&gt;=$M354),Settings!$C$22,0),0))</f>
        <v/>
      </c>
      <c r="S354" s="15">
        <f>IF($A354="","",$N354+$O354+$P354+$Q354-$R354)</f>
        <v/>
      </c>
      <c r="T354" s="15">
        <f>IF($A354="","",IF($J354="Y",IF($K354="",$M354,MIN($K354,$M354)),0))</f>
        <v/>
      </c>
      <c r="U354" s="15">
        <f>IF($A354="","",IF($D354="",1,$D354)*IFERROR(INDEX(Products!$F$5:$F$54,MATCH($C354,Products!$A$5:$A$54,0)),0))</f>
        <v/>
      </c>
      <c r="V354" s="27">
        <f>IF($A354="","",$M354-$T354-$S354-$U354-$G354)</f>
        <v/>
      </c>
      <c r="W354" s="31">
        <f>IF($A354="","",IF($M354-$T354&gt;0,$V354/($M354-$T354),""))</f>
        <v/>
      </c>
      <c r="X354" s="35">
        <f>IF($A354="","",DATE(YEAR($A354),MONTH($A354),1))</f>
        <v/>
      </c>
    </row>
    <row r="355">
      <c r="A355" s="18" t="n"/>
      <c r="B355" s="13" t="n"/>
      <c r="C355" s="13" t="n"/>
      <c r="D355" s="26" t="n"/>
      <c r="E355" s="12" t="n"/>
      <c r="F355" s="12" t="n"/>
      <c r="G355" s="12" t="n"/>
      <c r="H355" s="12" t="n"/>
      <c r="I355" s="13" t="n"/>
      <c r="J355" s="13" t="n"/>
      <c r="K355" s="12" t="n"/>
      <c r="L355" s="13" t="n"/>
      <c r="M355" s="15">
        <f>IF($A355="","",IF($D355="",1,$D355)*$E355+$F355-$H355)</f>
        <v/>
      </c>
      <c r="N355" s="15">
        <f>IF($A355="","",IF($B355="Etsy",IF($D355="",1,$D355)*Settings!$C$19,0))</f>
        <v/>
      </c>
      <c r="O355" s="15">
        <f>IF($A355="","",IF($B355="Etsy",Settings!$C$20*($M355+IF(Settings!$C$54="Y",0,$H355)),0))</f>
        <v/>
      </c>
      <c r="P355" s="15">
        <f>IF($A355="","",IF($B355="Etsy",Settings!$C$21*$M355*(1+Settings!$C$55)+Settings!$C$22,IF($B355="Shopify",Settings!$C$14*$M355+Settings!$C$15,0)))</f>
        <v/>
      </c>
      <c r="Q355" s="15">
        <f>IF($A355="","",IF(AND($B355="Etsy",$I355="Y"),MIN(Settings!$C$12*($M355+IF(Settings!$C$54="Y",0,$H355)),Settings!$C$25),0))</f>
        <v/>
      </c>
      <c r="R355" s="15">
        <f>IF($A355="","",IF(AND($B355="Etsy",$J355="Y",$L355="Y",$M355&gt;0),($O355+Settings!$C$21*$M355*(1+Settings!$C$55)+IF(Settings!$C$59="Y",$Q355,0))*$T355/$M355+IF(AND(Settings!$C$58="Y",$T355&gt;=$M355),Settings!$C$22,0),0))</f>
        <v/>
      </c>
      <c r="S355" s="15">
        <f>IF($A355="","",$N355+$O355+$P355+$Q355-$R355)</f>
        <v/>
      </c>
      <c r="T355" s="15">
        <f>IF($A355="","",IF($J355="Y",IF($K355="",$M355,MIN($K355,$M355)),0))</f>
        <v/>
      </c>
      <c r="U355" s="15">
        <f>IF($A355="","",IF($D355="",1,$D355)*IFERROR(INDEX(Products!$F$5:$F$54,MATCH($C355,Products!$A$5:$A$54,0)),0))</f>
        <v/>
      </c>
      <c r="V355" s="27">
        <f>IF($A355="","",$M355-$T355-$S355-$U355-$G355)</f>
        <v/>
      </c>
      <c r="W355" s="31">
        <f>IF($A355="","",IF($M355-$T355&gt;0,$V355/($M355-$T355),""))</f>
        <v/>
      </c>
      <c r="X355" s="35">
        <f>IF($A355="","",DATE(YEAR($A355),MONTH($A355),1))</f>
        <v/>
      </c>
    </row>
    <row r="356">
      <c r="A356" s="18" t="n"/>
      <c r="B356" s="13" t="n"/>
      <c r="C356" s="13" t="n"/>
      <c r="D356" s="26" t="n"/>
      <c r="E356" s="12" t="n"/>
      <c r="F356" s="12" t="n"/>
      <c r="G356" s="12" t="n"/>
      <c r="H356" s="12" t="n"/>
      <c r="I356" s="13" t="n"/>
      <c r="J356" s="13" t="n"/>
      <c r="K356" s="12" t="n"/>
      <c r="L356" s="13" t="n"/>
      <c r="M356" s="15">
        <f>IF($A356="","",IF($D356="",1,$D356)*$E356+$F356-$H356)</f>
        <v/>
      </c>
      <c r="N356" s="15">
        <f>IF($A356="","",IF($B356="Etsy",IF($D356="",1,$D356)*Settings!$C$19,0))</f>
        <v/>
      </c>
      <c r="O356" s="15">
        <f>IF($A356="","",IF($B356="Etsy",Settings!$C$20*($M356+IF(Settings!$C$54="Y",0,$H356)),0))</f>
        <v/>
      </c>
      <c r="P356" s="15">
        <f>IF($A356="","",IF($B356="Etsy",Settings!$C$21*$M356*(1+Settings!$C$55)+Settings!$C$22,IF($B356="Shopify",Settings!$C$14*$M356+Settings!$C$15,0)))</f>
        <v/>
      </c>
      <c r="Q356" s="15">
        <f>IF($A356="","",IF(AND($B356="Etsy",$I356="Y"),MIN(Settings!$C$12*($M356+IF(Settings!$C$54="Y",0,$H356)),Settings!$C$25),0))</f>
        <v/>
      </c>
      <c r="R356" s="15">
        <f>IF($A356="","",IF(AND($B356="Etsy",$J356="Y",$L356="Y",$M356&gt;0),($O356+Settings!$C$21*$M356*(1+Settings!$C$55)+IF(Settings!$C$59="Y",$Q356,0))*$T356/$M356+IF(AND(Settings!$C$58="Y",$T356&gt;=$M356),Settings!$C$22,0),0))</f>
        <v/>
      </c>
      <c r="S356" s="15">
        <f>IF($A356="","",$N356+$O356+$P356+$Q356-$R356)</f>
        <v/>
      </c>
      <c r="T356" s="15">
        <f>IF($A356="","",IF($J356="Y",IF($K356="",$M356,MIN($K356,$M356)),0))</f>
        <v/>
      </c>
      <c r="U356" s="15">
        <f>IF($A356="","",IF($D356="",1,$D356)*IFERROR(INDEX(Products!$F$5:$F$54,MATCH($C356,Products!$A$5:$A$54,0)),0))</f>
        <v/>
      </c>
      <c r="V356" s="27">
        <f>IF($A356="","",$M356-$T356-$S356-$U356-$G356)</f>
        <v/>
      </c>
      <c r="W356" s="31">
        <f>IF($A356="","",IF($M356-$T356&gt;0,$V356/($M356-$T356),""))</f>
        <v/>
      </c>
      <c r="X356" s="35">
        <f>IF($A356="","",DATE(YEAR($A356),MONTH($A356),1))</f>
        <v/>
      </c>
    </row>
    <row r="357">
      <c r="A357" s="18" t="n"/>
      <c r="B357" s="13" t="n"/>
      <c r="C357" s="13" t="n"/>
      <c r="D357" s="26" t="n"/>
      <c r="E357" s="12" t="n"/>
      <c r="F357" s="12" t="n"/>
      <c r="G357" s="12" t="n"/>
      <c r="H357" s="12" t="n"/>
      <c r="I357" s="13" t="n"/>
      <c r="J357" s="13" t="n"/>
      <c r="K357" s="12" t="n"/>
      <c r="L357" s="13" t="n"/>
      <c r="M357" s="15">
        <f>IF($A357="","",IF($D357="",1,$D357)*$E357+$F357-$H357)</f>
        <v/>
      </c>
      <c r="N357" s="15">
        <f>IF($A357="","",IF($B357="Etsy",IF($D357="",1,$D357)*Settings!$C$19,0))</f>
        <v/>
      </c>
      <c r="O357" s="15">
        <f>IF($A357="","",IF($B357="Etsy",Settings!$C$20*($M357+IF(Settings!$C$54="Y",0,$H357)),0))</f>
        <v/>
      </c>
      <c r="P357" s="15">
        <f>IF($A357="","",IF($B357="Etsy",Settings!$C$21*$M357*(1+Settings!$C$55)+Settings!$C$22,IF($B357="Shopify",Settings!$C$14*$M357+Settings!$C$15,0)))</f>
        <v/>
      </c>
      <c r="Q357" s="15">
        <f>IF($A357="","",IF(AND($B357="Etsy",$I357="Y"),MIN(Settings!$C$12*($M357+IF(Settings!$C$54="Y",0,$H357)),Settings!$C$25),0))</f>
        <v/>
      </c>
      <c r="R357" s="15">
        <f>IF($A357="","",IF(AND($B357="Etsy",$J357="Y",$L357="Y",$M357&gt;0),($O357+Settings!$C$21*$M357*(1+Settings!$C$55)+IF(Settings!$C$59="Y",$Q357,0))*$T357/$M357+IF(AND(Settings!$C$58="Y",$T357&gt;=$M357),Settings!$C$22,0),0))</f>
        <v/>
      </c>
      <c r="S357" s="15">
        <f>IF($A357="","",$N357+$O357+$P357+$Q357-$R357)</f>
        <v/>
      </c>
      <c r="T357" s="15">
        <f>IF($A357="","",IF($J357="Y",IF($K357="",$M357,MIN($K357,$M357)),0))</f>
        <v/>
      </c>
      <c r="U357" s="15">
        <f>IF($A357="","",IF($D357="",1,$D357)*IFERROR(INDEX(Products!$F$5:$F$54,MATCH($C357,Products!$A$5:$A$54,0)),0))</f>
        <v/>
      </c>
      <c r="V357" s="27">
        <f>IF($A357="","",$M357-$T357-$S357-$U357-$G357)</f>
        <v/>
      </c>
      <c r="W357" s="31">
        <f>IF($A357="","",IF($M357-$T357&gt;0,$V357/($M357-$T357),""))</f>
        <v/>
      </c>
      <c r="X357" s="35">
        <f>IF($A357="","",DATE(YEAR($A357),MONTH($A357),1))</f>
        <v/>
      </c>
    </row>
    <row r="358">
      <c r="A358" s="18" t="n"/>
      <c r="B358" s="13" t="n"/>
      <c r="C358" s="13" t="n"/>
      <c r="D358" s="26" t="n"/>
      <c r="E358" s="12" t="n"/>
      <c r="F358" s="12" t="n"/>
      <c r="G358" s="12" t="n"/>
      <c r="H358" s="12" t="n"/>
      <c r="I358" s="13" t="n"/>
      <c r="J358" s="13" t="n"/>
      <c r="K358" s="12" t="n"/>
      <c r="L358" s="13" t="n"/>
      <c r="M358" s="15">
        <f>IF($A358="","",IF($D358="",1,$D358)*$E358+$F358-$H358)</f>
        <v/>
      </c>
      <c r="N358" s="15">
        <f>IF($A358="","",IF($B358="Etsy",IF($D358="",1,$D358)*Settings!$C$19,0))</f>
        <v/>
      </c>
      <c r="O358" s="15">
        <f>IF($A358="","",IF($B358="Etsy",Settings!$C$20*($M358+IF(Settings!$C$54="Y",0,$H358)),0))</f>
        <v/>
      </c>
      <c r="P358" s="15">
        <f>IF($A358="","",IF($B358="Etsy",Settings!$C$21*$M358*(1+Settings!$C$55)+Settings!$C$22,IF($B358="Shopify",Settings!$C$14*$M358+Settings!$C$15,0)))</f>
        <v/>
      </c>
      <c r="Q358" s="15">
        <f>IF($A358="","",IF(AND($B358="Etsy",$I358="Y"),MIN(Settings!$C$12*($M358+IF(Settings!$C$54="Y",0,$H358)),Settings!$C$25),0))</f>
        <v/>
      </c>
      <c r="R358" s="15">
        <f>IF($A358="","",IF(AND($B358="Etsy",$J358="Y",$L358="Y",$M358&gt;0),($O358+Settings!$C$21*$M358*(1+Settings!$C$55)+IF(Settings!$C$59="Y",$Q358,0))*$T358/$M358+IF(AND(Settings!$C$58="Y",$T358&gt;=$M358),Settings!$C$22,0),0))</f>
        <v/>
      </c>
      <c r="S358" s="15">
        <f>IF($A358="","",$N358+$O358+$P358+$Q358-$R358)</f>
        <v/>
      </c>
      <c r="T358" s="15">
        <f>IF($A358="","",IF($J358="Y",IF($K358="",$M358,MIN($K358,$M358)),0))</f>
        <v/>
      </c>
      <c r="U358" s="15">
        <f>IF($A358="","",IF($D358="",1,$D358)*IFERROR(INDEX(Products!$F$5:$F$54,MATCH($C358,Products!$A$5:$A$54,0)),0))</f>
        <v/>
      </c>
      <c r="V358" s="27">
        <f>IF($A358="","",$M358-$T358-$S358-$U358-$G358)</f>
        <v/>
      </c>
      <c r="W358" s="31">
        <f>IF($A358="","",IF($M358-$T358&gt;0,$V358/($M358-$T358),""))</f>
        <v/>
      </c>
      <c r="X358" s="35">
        <f>IF($A358="","",DATE(YEAR($A358),MONTH($A358),1))</f>
        <v/>
      </c>
    </row>
    <row r="359">
      <c r="A359" s="18" t="n"/>
      <c r="B359" s="13" t="n"/>
      <c r="C359" s="13" t="n"/>
      <c r="D359" s="26" t="n"/>
      <c r="E359" s="12" t="n"/>
      <c r="F359" s="12" t="n"/>
      <c r="G359" s="12" t="n"/>
      <c r="H359" s="12" t="n"/>
      <c r="I359" s="13" t="n"/>
      <c r="J359" s="13" t="n"/>
      <c r="K359" s="12" t="n"/>
      <c r="L359" s="13" t="n"/>
      <c r="M359" s="15">
        <f>IF($A359="","",IF($D359="",1,$D359)*$E359+$F359-$H359)</f>
        <v/>
      </c>
      <c r="N359" s="15">
        <f>IF($A359="","",IF($B359="Etsy",IF($D359="",1,$D359)*Settings!$C$19,0))</f>
        <v/>
      </c>
      <c r="O359" s="15">
        <f>IF($A359="","",IF($B359="Etsy",Settings!$C$20*($M359+IF(Settings!$C$54="Y",0,$H359)),0))</f>
        <v/>
      </c>
      <c r="P359" s="15">
        <f>IF($A359="","",IF($B359="Etsy",Settings!$C$21*$M359*(1+Settings!$C$55)+Settings!$C$22,IF($B359="Shopify",Settings!$C$14*$M359+Settings!$C$15,0)))</f>
        <v/>
      </c>
      <c r="Q359" s="15">
        <f>IF($A359="","",IF(AND($B359="Etsy",$I359="Y"),MIN(Settings!$C$12*($M359+IF(Settings!$C$54="Y",0,$H359)),Settings!$C$25),0))</f>
        <v/>
      </c>
      <c r="R359" s="15">
        <f>IF($A359="","",IF(AND($B359="Etsy",$J359="Y",$L359="Y",$M359&gt;0),($O359+Settings!$C$21*$M359*(1+Settings!$C$55)+IF(Settings!$C$59="Y",$Q359,0))*$T359/$M359+IF(AND(Settings!$C$58="Y",$T359&gt;=$M359),Settings!$C$22,0),0))</f>
        <v/>
      </c>
      <c r="S359" s="15">
        <f>IF($A359="","",$N359+$O359+$P359+$Q359-$R359)</f>
        <v/>
      </c>
      <c r="T359" s="15">
        <f>IF($A359="","",IF($J359="Y",IF($K359="",$M359,MIN($K359,$M359)),0))</f>
        <v/>
      </c>
      <c r="U359" s="15">
        <f>IF($A359="","",IF($D359="",1,$D359)*IFERROR(INDEX(Products!$F$5:$F$54,MATCH($C359,Products!$A$5:$A$54,0)),0))</f>
        <v/>
      </c>
      <c r="V359" s="27">
        <f>IF($A359="","",$M359-$T359-$S359-$U359-$G359)</f>
        <v/>
      </c>
      <c r="W359" s="31">
        <f>IF($A359="","",IF($M359-$T359&gt;0,$V359/($M359-$T359),""))</f>
        <v/>
      </c>
      <c r="X359" s="35">
        <f>IF($A359="","",DATE(YEAR($A359),MONTH($A359),1))</f>
        <v/>
      </c>
    </row>
    <row r="360">
      <c r="A360" s="18" t="n"/>
      <c r="B360" s="13" t="n"/>
      <c r="C360" s="13" t="n"/>
      <c r="D360" s="26" t="n"/>
      <c r="E360" s="12" t="n"/>
      <c r="F360" s="12" t="n"/>
      <c r="G360" s="12" t="n"/>
      <c r="H360" s="12" t="n"/>
      <c r="I360" s="13" t="n"/>
      <c r="J360" s="13" t="n"/>
      <c r="K360" s="12" t="n"/>
      <c r="L360" s="13" t="n"/>
      <c r="M360" s="15">
        <f>IF($A360="","",IF($D360="",1,$D360)*$E360+$F360-$H360)</f>
        <v/>
      </c>
      <c r="N360" s="15">
        <f>IF($A360="","",IF($B360="Etsy",IF($D360="",1,$D360)*Settings!$C$19,0))</f>
        <v/>
      </c>
      <c r="O360" s="15">
        <f>IF($A360="","",IF($B360="Etsy",Settings!$C$20*($M360+IF(Settings!$C$54="Y",0,$H360)),0))</f>
        <v/>
      </c>
      <c r="P360" s="15">
        <f>IF($A360="","",IF($B360="Etsy",Settings!$C$21*$M360*(1+Settings!$C$55)+Settings!$C$22,IF($B360="Shopify",Settings!$C$14*$M360+Settings!$C$15,0)))</f>
        <v/>
      </c>
      <c r="Q360" s="15">
        <f>IF($A360="","",IF(AND($B360="Etsy",$I360="Y"),MIN(Settings!$C$12*($M360+IF(Settings!$C$54="Y",0,$H360)),Settings!$C$25),0))</f>
        <v/>
      </c>
      <c r="R360" s="15">
        <f>IF($A360="","",IF(AND($B360="Etsy",$J360="Y",$L360="Y",$M360&gt;0),($O360+Settings!$C$21*$M360*(1+Settings!$C$55)+IF(Settings!$C$59="Y",$Q360,0))*$T360/$M360+IF(AND(Settings!$C$58="Y",$T360&gt;=$M360),Settings!$C$22,0),0))</f>
        <v/>
      </c>
      <c r="S360" s="15">
        <f>IF($A360="","",$N360+$O360+$P360+$Q360-$R360)</f>
        <v/>
      </c>
      <c r="T360" s="15">
        <f>IF($A360="","",IF($J360="Y",IF($K360="",$M360,MIN($K360,$M360)),0))</f>
        <v/>
      </c>
      <c r="U360" s="15">
        <f>IF($A360="","",IF($D360="",1,$D360)*IFERROR(INDEX(Products!$F$5:$F$54,MATCH($C360,Products!$A$5:$A$54,0)),0))</f>
        <v/>
      </c>
      <c r="V360" s="27">
        <f>IF($A360="","",$M360-$T360-$S360-$U360-$G360)</f>
        <v/>
      </c>
      <c r="W360" s="31">
        <f>IF($A360="","",IF($M360-$T360&gt;0,$V360/($M360-$T360),""))</f>
        <v/>
      </c>
      <c r="X360" s="35">
        <f>IF($A360="","",DATE(YEAR($A360),MONTH($A360),1))</f>
        <v/>
      </c>
    </row>
    <row r="361">
      <c r="A361" s="18" t="n"/>
      <c r="B361" s="13" t="n"/>
      <c r="C361" s="13" t="n"/>
      <c r="D361" s="26" t="n"/>
      <c r="E361" s="12" t="n"/>
      <c r="F361" s="12" t="n"/>
      <c r="G361" s="12" t="n"/>
      <c r="H361" s="12" t="n"/>
      <c r="I361" s="13" t="n"/>
      <c r="J361" s="13" t="n"/>
      <c r="K361" s="12" t="n"/>
      <c r="L361" s="13" t="n"/>
      <c r="M361" s="15">
        <f>IF($A361="","",IF($D361="",1,$D361)*$E361+$F361-$H361)</f>
        <v/>
      </c>
      <c r="N361" s="15">
        <f>IF($A361="","",IF($B361="Etsy",IF($D361="",1,$D361)*Settings!$C$19,0))</f>
        <v/>
      </c>
      <c r="O361" s="15">
        <f>IF($A361="","",IF($B361="Etsy",Settings!$C$20*($M361+IF(Settings!$C$54="Y",0,$H361)),0))</f>
        <v/>
      </c>
      <c r="P361" s="15">
        <f>IF($A361="","",IF($B361="Etsy",Settings!$C$21*$M361*(1+Settings!$C$55)+Settings!$C$22,IF($B361="Shopify",Settings!$C$14*$M361+Settings!$C$15,0)))</f>
        <v/>
      </c>
      <c r="Q361" s="15">
        <f>IF($A361="","",IF(AND($B361="Etsy",$I361="Y"),MIN(Settings!$C$12*($M361+IF(Settings!$C$54="Y",0,$H361)),Settings!$C$25),0))</f>
        <v/>
      </c>
      <c r="R361" s="15">
        <f>IF($A361="","",IF(AND($B361="Etsy",$J361="Y",$L361="Y",$M361&gt;0),($O361+Settings!$C$21*$M361*(1+Settings!$C$55)+IF(Settings!$C$59="Y",$Q361,0))*$T361/$M361+IF(AND(Settings!$C$58="Y",$T361&gt;=$M361),Settings!$C$22,0),0))</f>
        <v/>
      </c>
      <c r="S361" s="15">
        <f>IF($A361="","",$N361+$O361+$P361+$Q361-$R361)</f>
        <v/>
      </c>
      <c r="T361" s="15">
        <f>IF($A361="","",IF($J361="Y",IF($K361="",$M361,MIN($K361,$M361)),0))</f>
        <v/>
      </c>
      <c r="U361" s="15">
        <f>IF($A361="","",IF($D361="",1,$D361)*IFERROR(INDEX(Products!$F$5:$F$54,MATCH($C361,Products!$A$5:$A$54,0)),0))</f>
        <v/>
      </c>
      <c r="V361" s="27">
        <f>IF($A361="","",$M361-$T361-$S361-$U361-$G361)</f>
        <v/>
      </c>
      <c r="W361" s="31">
        <f>IF($A361="","",IF($M361-$T361&gt;0,$V361/($M361-$T361),""))</f>
        <v/>
      </c>
      <c r="X361" s="35">
        <f>IF($A361="","",DATE(YEAR($A361),MONTH($A361),1))</f>
        <v/>
      </c>
    </row>
    <row r="362">
      <c r="A362" s="18" t="n"/>
      <c r="B362" s="13" t="n"/>
      <c r="C362" s="13" t="n"/>
      <c r="D362" s="26" t="n"/>
      <c r="E362" s="12" t="n"/>
      <c r="F362" s="12" t="n"/>
      <c r="G362" s="12" t="n"/>
      <c r="H362" s="12" t="n"/>
      <c r="I362" s="13" t="n"/>
      <c r="J362" s="13" t="n"/>
      <c r="K362" s="12" t="n"/>
      <c r="L362" s="13" t="n"/>
      <c r="M362" s="15">
        <f>IF($A362="","",IF($D362="",1,$D362)*$E362+$F362-$H362)</f>
        <v/>
      </c>
      <c r="N362" s="15">
        <f>IF($A362="","",IF($B362="Etsy",IF($D362="",1,$D362)*Settings!$C$19,0))</f>
        <v/>
      </c>
      <c r="O362" s="15">
        <f>IF($A362="","",IF($B362="Etsy",Settings!$C$20*($M362+IF(Settings!$C$54="Y",0,$H362)),0))</f>
        <v/>
      </c>
      <c r="P362" s="15">
        <f>IF($A362="","",IF($B362="Etsy",Settings!$C$21*$M362*(1+Settings!$C$55)+Settings!$C$22,IF($B362="Shopify",Settings!$C$14*$M362+Settings!$C$15,0)))</f>
        <v/>
      </c>
      <c r="Q362" s="15">
        <f>IF($A362="","",IF(AND($B362="Etsy",$I362="Y"),MIN(Settings!$C$12*($M362+IF(Settings!$C$54="Y",0,$H362)),Settings!$C$25),0))</f>
        <v/>
      </c>
      <c r="R362" s="15">
        <f>IF($A362="","",IF(AND($B362="Etsy",$J362="Y",$L362="Y",$M362&gt;0),($O362+Settings!$C$21*$M362*(1+Settings!$C$55)+IF(Settings!$C$59="Y",$Q362,0))*$T362/$M362+IF(AND(Settings!$C$58="Y",$T362&gt;=$M362),Settings!$C$22,0),0))</f>
        <v/>
      </c>
      <c r="S362" s="15">
        <f>IF($A362="","",$N362+$O362+$P362+$Q362-$R362)</f>
        <v/>
      </c>
      <c r="T362" s="15">
        <f>IF($A362="","",IF($J362="Y",IF($K362="",$M362,MIN($K362,$M362)),0))</f>
        <v/>
      </c>
      <c r="U362" s="15">
        <f>IF($A362="","",IF($D362="",1,$D362)*IFERROR(INDEX(Products!$F$5:$F$54,MATCH($C362,Products!$A$5:$A$54,0)),0))</f>
        <v/>
      </c>
      <c r="V362" s="27">
        <f>IF($A362="","",$M362-$T362-$S362-$U362-$G362)</f>
        <v/>
      </c>
      <c r="W362" s="31">
        <f>IF($A362="","",IF($M362-$T362&gt;0,$V362/($M362-$T362),""))</f>
        <v/>
      </c>
      <c r="X362" s="35">
        <f>IF($A362="","",DATE(YEAR($A362),MONTH($A362),1))</f>
        <v/>
      </c>
    </row>
    <row r="363">
      <c r="A363" s="18" t="n"/>
      <c r="B363" s="13" t="n"/>
      <c r="C363" s="13" t="n"/>
      <c r="D363" s="26" t="n"/>
      <c r="E363" s="12" t="n"/>
      <c r="F363" s="12" t="n"/>
      <c r="G363" s="12" t="n"/>
      <c r="H363" s="12" t="n"/>
      <c r="I363" s="13" t="n"/>
      <c r="J363" s="13" t="n"/>
      <c r="K363" s="12" t="n"/>
      <c r="L363" s="13" t="n"/>
      <c r="M363" s="15">
        <f>IF($A363="","",IF($D363="",1,$D363)*$E363+$F363-$H363)</f>
        <v/>
      </c>
      <c r="N363" s="15">
        <f>IF($A363="","",IF($B363="Etsy",IF($D363="",1,$D363)*Settings!$C$19,0))</f>
        <v/>
      </c>
      <c r="O363" s="15">
        <f>IF($A363="","",IF($B363="Etsy",Settings!$C$20*($M363+IF(Settings!$C$54="Y",0,$H363)),0))</f>
        <v/>
      </c>
      <c r="P363" s="15">
        <f>IF($A363="","",IF($B363="Etsy",Settings!$C$21*$M363*(1+Settings!$C$55)+Settings!$C$22,IF($B363="Shopify",Settings!$C$14*$M363+Settings!$C$15,0)))</f>
        <v/>
      </c>
      <c r="Q363" s="15">
        <f>IF($A363="","",IF(AND($B363="Etsy",$I363="Y"),MIN(Settings!$C$12*($M363+IF(Settings!$C$54="Y",0,$H363)),Settings!$C$25),0))</f>
        <v/>
      </c>
      <c r="R363" s="15">
        <f>IF($A363="","",IF(AND($B363="Etsy",$J363="Y",$L363="Y",$M363&gt;0),($O363+Settings!$C$21*$M363*(1+Settings!$C$55)+IF(Settings!$C$59="Y",$Q363,0))*$T363/$M363+IF(AND(Settings!$C$58="Y",$T363&gt;=$M363),Settings!$C$22,0),0))</f>
        <v/>
      </c>
      <c r="S363" s="15">
        <f>IF($A363="","",$N363+$O363+$P363+$Q363-$R363)</f>
        <v/>
      </c>
      <c r="T363" s="15">
        <f>IF($A363="","",IF($J363="Y",IF($K363="",$M363,MIN($K363,$M363)),0))</f>
        <v/>
      </c>
      <c r="U363" s="15">
        <f>IF($A363="","",IF($D363="",1,$D363)*IFERROR(INDEX(Products!$F$5:$F$54,MATCH($C363,Products!$A$5:$A$54,0)),0))</f>
        <v/>
      </c>
      <c r="V363" s="27">
        <f>IF($A363="","",$M363-$T363-$S363-$U363-$G363)</f>
        <v/>
      </c>
      <c r="W363" s="31">
        <f>IF($A363="","",IF($M363-$T363&gt;0,$V363/($M363-$T363),""))</f>
        <v/>
      </c>
      <c r="X363" s="35">
        <f>IF($A363="","",DATE(YEAR($A363),MONTH($A363),1))</f>
        <v/>
      </c>
    </row>
    <row r="364">
      <c r="A364" s="18" t="n"/>
      <c r="B364" s="13" t="n"/>
      <c r="C364" s="13" t="n"/>
      <c r="D364" s="26" t="n"/>
      <c r="E364" s="12" t="n"/>
      <c r="F364" s="12" t="n"/>
      <c r="G364" s="12" t="n"/>
      <c r="H364" s="12" t="n"/>
      <c r="I364" s="13" t="n"/>
      <c r="J364" s="13" t="n"/>
      <c r="K364" s="12" t="n"/>
      <c r="L364" s="13" t="n"/>
      <c r="M364" s="15">
        <f>IF($A364="","",IF($D364="",1,$D364)*$E364+$F364-$H364)</f>
        <v/>
      </c>
      <c r="N364" s="15">
        <f>IF($A364="","",IF($B364="Etsy",IF($D364="",1,$D364)*Settings!$C$19,0))</f>
        <v/>
      </c>
      <c r="O364" s="15">
        <f>IF($A364="","",IF($B364="Etsy",Settings!$C$20*($M364+IF(Settings!$C$54="Y",0,$H364)),0))</f>
        <v/>
      </c>
      <c r="P364" s="15">
        <f>IF($A364="","",IF($B364="Etsy",Settings!$C$21*$M364*(1+Settings!$C$55)+Settings!$C$22,IF($B364="Shopify",Settings!$C$14*$M364+Settings!$C$15,0)))</f>
        <v/>
      </c>
      <c r="Q364" s="15">
        <f>IF($A364="","",IF(AND($B364="Etsy",$I364="Y"),MIN(Settings!$C$12*($M364+IF(Settings!$C$54="Y",0,$H364)),Settings!$C$25),0))</f>
        <v/>
      </c>
      <c r="R364" s="15">
        <f>IF($A364="","",IF(AND($B364="Etsy",$J364="Y",$L364="Y",$M364&gt;0),($O364+Settings!$C$21*$M364*(1+Settings!$C$55)+IF(Settings!$C$59="Y",$Q364,0))*$T364/$M364+IF(AND(Settings!$C$58="Y",$T364&gt;=$M364),Settings!$C$22,0),0))</f>
        <v/>
      </c>
      <c r="S364" s="15">
        <f>IF($A364="","",$N364+$O364+$P364+$Q364-$R364)</f>
        <v/>
      </c>
      <c r="T364" s="15">
        <f>IF($A364="","",IF($J364="Y",IF($K364="",$M364,MIN($K364,$M364)),0))</f>
        <v/>
      </c>
      <c r="U364" s="15">
        <f>IF($A364="","",IF($D364="",1,$D364)*IFERROR(INDEX(Products!$F$5:$F$54,MATCH($C364,Products!$A$5:$A$54,0)),0))</f>
        <v/>
      </c>
      <c r="V364" s="27">
        <f>IF($A364="","",$M364-$T364-$S364-$U364-$G364)</f>
        <v/>
      </c>
      <c r="W364" s="31">
        <f>IF($A364="","",IF($M364-$T364&gt;0,$V364/($M364-$T364),""))</f>
        <v/>
      </c>
      <c r="X364" s="35">
        <f>IF($A364="","",DATE(YEAR($A364),MONTH($A364),1))</f>
        <v/>
      </c>
    </row>
    <row r="365">
      <c r="A365" s="18" t="n"/>
      <c r="B365" s="13" t="n"/>
      <c r="C365" s="13" t="n"/>
      <c r="D365" s="26" t="n"/>
      <c r="E365" s="12" t="n"/>
      <c r="F365" s="12" t="n"/>
      <c r="G365" s="12" t="n"/>
      <c r="H365" s="12" t="n"/>
      <c r="I365" s="13" t="n"/>
      <c r="J365" s="13" t="n"/>
      <c r="K365" s="12" t="n"/>
      <c r="L365" s="13" t="n"/>
      <c r="M365" s="15">
        <f>IF($A365="","",IF($D365="",1,$D365)*$E365+$F365-$H365)</f>
        <v/>
      </c>
      <c r="N365" s="15">
        <f>IF($A365="","",IF($B365="Etsy",IF($D365="",1,$D365)*Settings!$C$19,0))</f>
        <v/>
      </c>
      <c r="O365" s="15">
        <f>IF($A365="","",IF($B365="Etsy",Settings!$C$20*($M365+IF(Settings!$C$54="Y",0,$H365)),0))</f>
        <v/>
      </c>
      <c r="P365" s="15">
        <f>IF($A365="","",IF($B365="Etsy",Settings!$C$21*$M365*(1+Settings!$C$55)+Settings!$C$22,IF($B365="Shopify",Settings!$C$14*$M365+Settings!$C$15,0)))</f>
        <v/>
      </c>
      <c r="Q365" s="15">
        <f>IF($A365="","",IF(AND($B365="Etsy",$I365="Y"),MIN(Settings!$C$12*($M365+IF(Settings!$C$54="Y",0,$H365)),Settings!$C$25),0))</f>
        <v/>
      </c>
      <c r="R365" s="15">
        <f>IF($A365="","",IF(AND($B365="Etsy",$J365="Y",$L365="Y",$M365&gt;0),($O365+Settings!$C$21*$M365*(1+Settings!$C$55)+IF(Settings!$C$59="Y",$Q365,0))*$T365/$M365+IF(AND(Settings!$C$58="Y",$T365&gt;=$M365),Settings!$C$22,0),0))</f>
        <v/>
      </c>
      <c r="S365" s="15">
        <f>IF($A365="","",$N365+$O365+$P365+$Q365-$R365)</f>
        <v/>
      </c>
      <c r="T365" s="15">
        <f>IF($A365="","",IF($J365="Y",IF($K365="",$M365,MIN($K365,$M365)),0))</f>
        <v/>
      </c>
      <c r="U365" s="15">
        <f>IF($A365="","",IF($D365="",1,$D365)*IFERROR(INDEX(Products!$F$5:$F$54,MATCH($C365,Products!$A$5:$A$54,0)),0))</f>
        <v/>
      </c>
      <c r="V365" s="27">
        <f>IF($A365="","",$M365-$T365-$S365-$U365-$G365)</f>
        <v/>
      </c>
      <c r="W365" s="31">
        <f>IF($A365="","",IF($M365-$T365&gt;0,$V365/($M365-$T365),""))</f>
        <v/>
      </c>
      <c r="X365" s="35">
        <f>IF($A365="","",DATE(YEAR($A365),MONTH($A365),1))</f>
        <v/>
      </c>
    </row>
    <row r="366">
      <c r="A366" s="18" t="n"/>
      <c r="B366" s="13" t="n"/>
      <c r="C366" s="13" t="n"/>
      <c r="D366" s="26" t="n"/>
      <c r="E366" s="12" t="n"/>
      <c r="F366" s="12" t="n"/>
      <c r="G366" s="12" t="n"/>
      <c r="H366" s="12" t="n"/>
      <c r="I366" s="13" t="n"/>
      <c r="J366" s="13" t="n"/>
      <c r="K366" s="12" t="n"/>
      <c r="L366" s="13" t="n"/>
      <c r="M366" s="15">
        <f>IF($A366="","",IF($D366="",1,$D366)*$E366+$F366-$H366)</f>
        <v/>
      </c>
      <c r="N366" s="15">
        <f>IF($A366="","",IF($B366="Etsy",IF($D366="",1,$D366)*Settings!$C$19,0))</f>
        <v/>
      </c>
      <c r="O366" s="15">
        <f>IF($A366="","",IF($B366="Etsy",Settings!$C$20*($M366+IF(Settings!$C$54="Y",0,$H366)),0))</f>
        <v/>
      </c>
      <c r="P366" s="15">
        <f>IF($A366="","",IF($B366="Etsy",Settings!$C$21*$M366*(1+Settings!$C$55)+Settings!$C$22,IF($B366="Shopify",Settings!$C$14*$M366+Settings!$C$15,0)))</f>
        <v/>
      </c>
      <c r="Q366" s="15">
        <f>IF($A366="","",IF(AND($B366="Etsy",$I366="Y"),MIN(Settings!$C$12*($M366+IF(Settings!$C$54="Y",0,$H366)),Settings!$C$25),0))</f>
        <v/>
      </c>
      <c r="R366" s="15">
        <f>IF($A366="","",IF(AND($B366="Etsy",$J366="Y",$L366="Y",$M366&gt;0),($O366+Settings!$C$21*$M366*(1+Settings!$C$55)+IF(Settings!$C$59="Y",$Q366,0))*$T366/$M366+IF(AND(Settings!$C$58="Y",$T366&gt;=$M366),Settings!$C$22,0),0))</f>
        <v/>
      </c>
      <c r="S366" s="15">
        <f>IF($A366="","",$N366+$O366+$P366+$Q366-$R366)</f>
        <v/>
      </c>
      <c r="T366" s="15">
        <f>IF($A366="","",IF($J366="Y",IF($K366="",$M366,MIN($K366,$M366)),0))</f>
        <v/>
      </c>
      <c r="U366" s="15">
        <f>IF($A366="","",IF($D366="",1,$D366)*IFERROR(INDEX(Products!$F$5:$F$54,MATCH($C366,Products!$A$5:$A$54,0)),0))</f>
        <v/>
      </c>
      <c r="V366" s="27">
        <f>IF($A366="","",$M366-$T366-$S366-$U366-$G366)</f>
        <v/>
      </c>
      <c r="W366" s="31">
        <f>IF($A366="","",IF($M366-$T366&gt;0,$V366/($M366-$T366),""))</f>
        <v/>
      </c>
      <c r="X366" s="35">
        <f>IF($A366="","",DATE(YEAR($A366),MONTH($A366),1))</f>
        <v/>
      </c>
    </row>
    <row r="367">
      <c r="A367" s="18" t="n"/>
      <c r="B367" s="13" t="n"/>
      <c r="C367" s="13" t="n"/>
      <c r="D367" s="26" t="n"/>
      <c r="E367" s="12" t="n"/>
      <c r="F367" s="12" t="n"/>
      <c r="G367" s="12" t="n"/>
      <c r="H367" s="12" t="n"/>
      <c r="I367" s="13" t="n"/>
      <c r="J367" s="13" t="n"/>
      <c r="K367" s="12" t="n"/>
      <c r="L367" s="13" t="n"/>
      <c r="M367" s="15">
        <f>IF($A367="","",IF($D367="",1,$D367)*$E367+$F367-$H367)</f>
        <v/>
      </c>
      <c r="N367" s="15">
        <f>IF($A367="","",IF($B367="Etsy",IF($D367="",1,$D367)*Settings!$C$19,0))</f>
        <v/>
      </c>
      <c r="O367" s="15">
        <f>IF($A367="","",IF($B367="Etsy",Settings!$C$20*($M367+IF(Settings!$C$54="Y",0,$H367)),0))</f>
        <v/>
      </c>
      <c r="P367" s="15">
        <f>IF($A367="","",IF($B367="Etsy",Settings!$C$21*$M367*(1+Settings!$C$55)+Settings!$C$22,IF($B367="Shopify",Settings!$C$14*$M367+Settings!$C$15,0)))</f>
        <v/>
      </c>
      <c r="Q367" s="15">
        <f>IF($A367="","",IF(AND($B367="Etsy",$I367="Y"),MIN(Settings!$C$12*($M367+IF(Settings!$C$54="Y",0,$H367)),Settings!$C$25),0))</f>
        <v/>
      </c>
      <c r="R367" s="15">
        <f>IF($A367="","",IF(AND($B367="Etsy",$J367="Y",$L367="Y",$M367&gt;0),($O367+Settings!$C$21*$M367*(1+Settings!$C$55)+IF(Settings!$C$59="Y",$Q367,0))*$T367/$M367+IF(AND(Settings!$C$58="Y",$T367&gt;=$M367),Settings!$C$22,0),0))</f>
        <v/>
      </c>
      <c r="S367" s="15">
        <f>IF($A367="","",$N367+$O367+$P367+$Q367-$R367)</f>
        <v/>
      </c>
      <c r="T367" s="15">
        <f>IF($A367="","",IF($J367="Y",IF($K367="",$M367,MIN($K367,$M367)),0))</f>
        <v/>
      </c>
      <c r="U367" s="15">
        <f>IF($A367="","",IF($D367="",1,$D367)*IFERROR(INDEX(Products!$F$5:$F$54,MATCH($C367,Products!$A$5:$A$54,0)),0))</f>
        <v/>
      </c>
      <c r="V367" s="27">
        <f>IF($A367="","",$M367-$T367-$S367-$U367-$G367)</f>
        <v/>
      </c>
      <c r="W367" s="31">
        <f>IF($A367="","",IF($M367-$T367&gt;0,$V367/($M367-$T367),""))</f>
        <v/>
      </c>
      <c r="X367" s="35">
        <f>IF($A367="","",DATE(YEAR($A367),MONTH($A367),1))</f>
        <v/>
      </c>
    </row>
    <row r="368">
      <c r="A368" s="18" t="n"/>
      <c r="B368" s="13" t="n"/>
      <c r="C368" s="13" t="n"/>
      <c r="D368" s="26" t="n"/>
      <c r="E368" s="12" t="n"/>
      <c r="F368" s="12" t="n"/>
      <c r="G368" s="12" t="n"/>
      <c r="H368" s="12" t="n"/>
      <c r="I368" s="13" t="n"/>
      <c r="J368" s="13" t="n"/>
      <c r="K368" s="12" t="n"/>
      <c r="L368" s="13" t="n"/>
      <c r="M368" s="15">
        <f>IF($A368="","",IF($D368="",1,$D368)*$E368+$F368-$H368)</f>
        <v/>
      </c>
      <c r="N368" s="15">
        <f>IF($A368="","",IF($B368="Etsy",IF($D368="",1,$D368)*Settings!$C$19,0))</f>
        <v/>
      </c>
      <c r="O368" s="15">
        <f>IF($A368="","",IF($B368="Etsy",Settings!$C$20*($M368+IF(Settings!$C$54="Y",0,$H368)),0))</f>
        <v/>
      </c>
      <c r="P368" s="15">
        <f>IF($A368="","",IF($B368="Etsy",Settings!$C$21*$M368*(1+Settings!$C$55)+Settings!$C$22,IF($B368="Shopify",Settings!$C$14*$M368+Settings!$C$15,0)))</f>
        <v/>
      </c>
      <c r="Q368" s="15">
        <f>IF($A368="","",IF(AND($B368="Etsy",$I368="Y"),MIN(Settings!$C$12*($M368+IF(Settings!$C$54="Y",0,$H368)),Settings!$C$25),0))</f>
        <v/>
      </c>
      <c r="R368" s="15">
        <f>IF($A368="","",IF(AND($B368="Etsy",$J368="Y",$L368="Y",$M368&gt;0),($O368+Settings!$C$21*$M368*(1+Settings!$C$55)+IF(Settings!$C$59="Y",$Q368,0))*$T368/$M368+IF(AND(Settings!$C$58="Y",$T368&gt;=$M368),Settings!$C$22,0),0))</f>
        <v/>
      </c>
      <c r="S368" s="15">
        <f>IF($A368="","",$N368+$O368+$P368+$Q368-$R368)</f>
        <v/>
      </c>
      <c r="T368" s="15">
        <f>IF($A368="","",IF($J368="Y",IF($K368="",$M368,MIN($K368,$M368)),0))</f>
        <v/>
      </c>
      <c r="U368" s="15">
        <f>IF($A368="","",IF($D368="",1,$D368)*IFERROR(INDEX(Products!$F$5:$F$54,MATCH($C368,Products!$A$5:$A$54,0)),0))</f>
        <v/>
      </c>
      <c r="V368" s="27">
        <f>IF($A368="","",$M368-$T368-$S368-$U368-$G368)</f>
        <v/>
      </c>
      <c r="W368" s="31">
        <f>IF($A368="","",IF($M368-$T368&gt;0,$V368/($M368-$T368),""))</f>
        <v/>
      </c>
      <c r="X368" s="35">
        <f>IF($A368="","",DATE(YEAR($A368),MONTH($A368),1))</f>
        <v/>
      </c>
    </row>
    <row r="369">
      <c r="A369" s="18" t="n"/>
      <c r="B369" s="13" t="n"/>
      <c r="C369" s="13" t="n"/>
      <c r="D369" s="26" t="n"/>
      <c r="E369" s="12" t="n"/>
      <c r="F369" s="12" t="n"/>
      <c r="G369" s="12" t="n"/>
      <c r="H369" s="12" t="n"/>
      <c r="I369" s="13" t="n"/>
      <c r="J369" s="13" t="n"/>
      <c r="K369" s="12" t="n"/>
      <c r="L369" s="13" t="n"/>
      <c r="M369" s="15">
        <f>IF($A369="","",IF($D369="",1,$D369)*$E369+$F369-$H369)</f>
        <v/>
      </c>
      <c r="N369" s="15">
        <f>IF($A369="","",IF($B369="Etsy",IF($D369="",1,$D369)*Settings!$C$19,0))</f>
        <v/>
      </c>
      <c r="O369" s="15">
        <f>IF($A369="","",IF($B369="Etsy",Settings!$C$20*($M369+IF(Settings!$C$54="Y",0,$H369)),0))</f>
        <v/>
      </c>
      <c r="P369" s="15">
        <f>IF($A369="","",IF($B369="Etsy",Settings!$C$21*$M369*(1+Settings!$C$55)+Settings!$C$22,IF($B369="Shopify",Settings!$C$14*$M369+Settings!$C$15,0)))</f>
        <v/>
      </c>
      <c r="Q369" s="15">
        <f>IF($A369="","",IF(AND($B369="Etsy",$I369="Y"),MIN(Settings!$C$12*($M369+IF(Settings!$C$54="Y",0,$H369)),Settings!$C$25),0))</f>
        <v/>
      </c>
      <c r="R369" s="15">
        <f>IF($A369="","",IF(AND($B369="Etsy",$J369="Y",$L369="Y",$M369&gt;0),($O369+Settings!$C$21*$M369*(1+Settings!$C$55)+IF(Settings!$C$59="Y",$Q369,0))*$T369/$M369+IF(AND(Settings!$C$58="Y",$T369&gt;=$M369),Settings!$C$22,0),0))</f>
        <v/>
      </c>
      <c r="S369" s="15">
        <f>IF($A369="","",$N369+$O369+$P369+$Q369-$R369)</f>
        <v/>
      </c>
      <c r="T369" s="15">
        <f>IF($A369="","",IF($J369="Y",IF($K369="",$M369,MIN($K369,$M369)),0))</f>
        <v/>
      </c>
      <c r="U369" s="15">
        <f>IF($A369="","",IF($D369="",1,$D369)*IFERROR(INDEX(Products!$F$5:$F$54,MATCH($C369,Products!$A$5:$A$54,0)),0))</f>
        <v/>
      </c>
      <c r="V369" s="27">
        <f>IF($A369="","",$M369-$T369-$S369-$U369-$G369)</f>
        <v/>
      </c>
      <c r="W369" s="31">
        <f>IF($A369="","",IF($M369-$T369&gt;0,$V369/($M369-$T369),""))</f>
        <v/>
      </c>
      <c r="X369" s="35">
        <f>IF($A369="","",DATE(YEAR($A369),MONTH($A369),1))</f>
        <v/>
      </c>
    </row>
    <row r="370">
      <c r="A370" s="18" t="n"/>
      <c r="B370" s="13" t="n"/>
      <c r="C370" s="13" t="n"/>
      <c r="D370" s="26" t="n"/>
      <c r="E370" s="12" t="n"/>
      <c r="F370" s="12" t="n"/>
      <c r="G370" s="12" t="n"/>
      <c r="H370" s="12" t="n"/>
      <c r="I370" s="13" t="n"/>
      <c r="J370" s="13" t="n"/>
      <c r="K370" s="12" t="n"/>
      <c r="L370" s="13" t="n"/>
      <c r="M370" s="15">
        <f>IF($A370="","",IF($D370="",1,$D370)*$E370+$F370-$H370)</f>
        <v/>
      </c>
      <c r="N370" s="15">
        <f>IF($A370="","",IF($B370="Etsy",IF($D370="",1,$D370)*Settings!$C$19,0))</f>
        <v/>
      </c>
      <c r="O370" s="15">
        <f>IF($A370="","",IF($B370="Etsy",Settings!$C$20*($M370+IF(Settings!$C$54="Y",0,$H370)),0))</f>
        <v/>
      </c>
      <c r="P370" s="15">
        <f>IF($A370="","",IF($B370="Etsy",Settings!$C$21*$M370*(1+Settings!$C$55)+Settings!$C$22,IF($B370="Shopify",Settings!$C$14*$M370+Settings!$C$15,0)))</f>
        <v/>
      </c>
      <c r="Q370" s="15">
        <f>IF($A370="","",IF(AND($B370="Etsy",$I370="Y"),MIN(Settings!$C$12*($M370+IF(Settings!$C$54="Y",0,$H370)),Settings!$C$25),0))</f>
        <v/>
      </c>
      <c r="R370" s="15">
        <f>IF($A370="","",IF(AND($B370="Etsy",$J370="Y",$L370="Y",$M370&gt;0),($O370+Settings!$C$21*$M370*(1+Settings!$C$55)+IF(Settings!$C$59="Y",$Q370,0))*$T370/$M370+IF(AND(Settings!$C$58="Y",$T370&gt;=$M370),Settings!$C$22,0),0))</f>
        <v/>
      </c>
      <c r="S370" s="15">
        <f>IF($A370="","",$N370+$O370+$P370+$Q370-$R370)</f>
        <v/>
      </c>
      <c r="T370" s="15">
        <f>IF($A370="","",IF($J370="Y",IF($K370="",$M370,MIN($K370,$M370)),0))</f>
        <v/>
      </c>
      <c r="U370" s="15">
        <f>IF($A370="","",IF($D370="",1,$D370)*IFERROR(INDEX(Products!$F$5:$F$54,MATCH($C370,Products!$A$5:$A$54,0)),0))</f>
        <v/>
      </c>
      <c r="V370" s="27">
        <f>IF($A370="","",$M370-$T370-$S370-$U370-$G370)</f>
        <v/>
      </c>
      <c r="W370" s="31">
        <f>IF($A370="","",IF($M370-$T370&gt;0,$V370/($M370-$T370),""))</f>
        <v/>
      </c>
      <c r="X370" s="35">
        <f>IF($A370="","",DATE(YEAR($A370),MONTH($A370),1))</f>
        <v/>
      </c>
    </row>
    <row r="371">
      <c r="A371" s="18" t="n"/>
      <c r="B371" s="13" t="n"/>
      <c r="C371" s="13" t="n"/>
      <c r="D371" s="26" t="n"/>
      <c r="E371" s="12" t="n"/>
      <c r="F371" s="12" t="n"/>
      <c r="G371" s="12" t="n"/>
      <c r="H371" s="12" t="n"/>
      <c r="I371" s="13" t="n"/>
      <c r="J371" s="13" t="n"/>
      <c r="K371" s="12" t="n"/>
      <c r="L371" s="13" t="n"/>
      <c r="M371" s="15">
        <f>IF($A371="","",IF($D371="",1,$D371)*$E371+$F371-$H371)</f>
        <v/>
      </c>
      <c r="N371" s="15">
        <f>IF($A371="","",IF($B371="Etsy",IF($D371="",1,$D371)*Settings!$C$19,0))</f>
        <v/>
      </c>
      <c r="O371" s="15">
        <f>IF($A371="","",IF($B371="Etsy",Settings!$C$20*($M371+IF(Settings!$C$54="Y",0,$H371)),0))</f>
        <v/>
      </c>
      <c r="P371" s="15">
        <f>IF($A371="","",IF($B371="Etsy",Settings!$C$21*$M371*(1+Settings!$C$55)+Settings!$C$22,IF($B371="Shopify",Settings!$C$14*$M371+Settings!$C$15,0)))</f>
        <v/>
      </c>
      <c r="Q371" s="15">
        <f>IF($A371="","",IF(AND($B371="Etsy",$I371="Y"),MIN(Settings!$C$12*($M371+IF(Settings!$C$54="Y",0,$H371)),Settings!$C$25),0))</f>
        <v/>
      </c>
      <c r="R371" s="15">
        <f>IF($A371="","",IF(AND($B371="Etsy",$J371="Y",$L371="Y",$M371&gt;0),($O371+Settings!$C$21*$M371*(1+Settings!$C$55)+IF(Settings!$C$59="Y",$Q371,0))*$T371/$M371+IF(AND(Settings!$C$58="Y",$T371&gt;=$M371),Settings!$C$22,0),0))</f>
        <v/>
      </c>
      <c r="S371" s="15">
        <f>IF($A371="","",$N371+$O371+$P371+$Q371-$R371)</f>
        <v/>
      </c>
      <c r="T371" s="15">
        <f>IF($A371="","",IF($J371="Y",IF($K371="",$M371,MIN($K371,$M371)),0))</f>
        <v/>
      </c>
      <c r="U371" s="15">
        <f>IF($A371="","",IF($D371="",1,$D371)*IFERROR(INDEX(Products!$F$5:$F$54,MATCH($C371,Products!$A$5:$A$54,0)),0))</f>
        <v/>
      </c>
      <c r="V371" s="27">
        <f>IF($A371="","",$M371-$T371-$S371-$U371-$G371)</f>
        <v/>
      </c>
      <c r="W371" s="31">
        <f>IF($A371="","",IF($M371-$T371&gt;0,$V371/($M371-$T371),""))</f>
        <v/>
      </c>
      <c r="X371" s="35">
        <f>IF($A371="","",DATE(YEAR($A371),MONTH($A371),1))</f>
        <v/>
      </c>
    </row>
    <row r="372">
      <c r="A372" s="18" t="n"/>
      <c r="B372" s="13" t="n"/>
      <c r="C372" s="13" t="n"/>
      <c r="D372" s="26" t="n"/>
      <c r="E372" s="12" t="n"/>
      <c r="F372" s="12" t="n"/>
      <c r="G372" s="12" t="n"/>
      <c r="H372" s="12" t="n"/>
      <c r="I372" s="13" t="n"/>
      <c r="J372" s="13" t="n"/>
      <c r="K372" s="12" t="n"/>
      <c r="L372" s="13" t="n"/>
      <c r="M372" s="15">
        <f>IF($A372="","",IF($D372="",1,$D372)*$E372+$F372-$H372)</f>
        <v/>
      </c>
      <c r="N372" s="15">
        <f>IF($A372="","",IF($B372="Etsy",IF($D372="",1,$D372)*Settings!$C$19,0))</f>
        <v/>
      </c>
      <c r="O372" s="15">
        <f>IF($A372="","",IF($B372="Etsy",Settings!$C$20*($M372+IF(Settings!$C$54="Y",0,$H372)),0))</f>
        <v/>
      </c>
      <c r="P372" s="15">
        <f>IF($A372="","",IF($B372="Etsy",Settings!$C$21*$M372*(1+Settings!$C$55)+Settings!$C$22,IF($B372="Shopify",Settings!$C$14*$M372+Settings!$C$15,0)))</f>
        <v/>
      </c>
      <c r="Q372" s="15">
        <f>IF($A372="","",IF(AND($B372="Etsy",$I372="Y"),MIN(Settings!$C$12*($M372+IF(Settings!$C$54="Y",0,$H372)),Settings!$C$25),0))</f>
        <v/>
      </c>
      <c r="R372" s="15">
        <f>IF($A372="","",IF(AND($B372="Etsy",$J372="Y",$L372="Y",$M372&gt;0),($O372+Settings!$C$21*$M372*(1+Settings!$C$55)+IF(Settings!$C$59="Y",$Q372,0))*$T372/$M372+IF(AND(Settings!$C$58="Y",$T372&gt;=$M372),Settings!$C$22,0),0))</f>
        <v/>
      </c>
      <c r="S372" s="15">
        <f>IF($A372="","",$N372+$O372+$P372+$Q372-$R372)</f>
        <v/>
      </c>
      <c r="T372" s="15">
        <f>IF($A372="","",IF($J372="Y",IF($K372="",$M372,MIN($K372,$M372)),0))</f>
        <v/>
      </c>
      <c r="U372" s="15">
        <f>IF($A372="","",IF($D372="",1,$D372)*IFERROR(INDEX(Products!$F$5:$F$54,MATCH($C372,Products!$A$5:$A$54,0)),0))</f>
        <v/>
      </c>
      <c r="V372" s="27">
        <f>IF($A372="","",$M372-$T372-$S372-$U372-$G372)</f>
        <v/>
      </c>
      <c r="W372" s="31">
        <f>IF($A372="","",IF($M372-$T372&gt;0,$V372/($M372-$T372),""))</f>
        <v/>
      </c>
      <c r="X372" s="35">
        <f>IF($A372="","",DATE(YEAR($A372),MONTH($A372),1))</f>
        <v/>
      </c>
    </row>
    <row r="373">
      <c r="A373" s="18" t="n"/>
      <c r="B373" s="13" t="n"/>
      <c r="C373" s="13" t="n"/>
      <c r="D373" s="26" t="n"/>
      <c r="E373" s="12" t="n"/>
      <c r="F373" s="12" t="n"/>
      <c r="G373" s="12" t="n"/>
      <c r="H373" s="12" t="n"/>
      <c r="I373" s="13" t="n"/>
      <c r="J373" s="13" t="n"/>
      <c r="K373" s="12" t="n"/>
      <c r="L373" s="13" t="n"/>
      <c r="M373" s="15">
        <f>IF($A373="","",IF($D373="",1,$D373)*$E373+$F373-$H373)</f>
        <v/>
      </c>
      <c r="N373" s="15">
        <f>IF($A373="","",IF($B373="Etsy",IF($D373="",1,$D373)*Settings!$C$19,0))</f>
        <v/>
      </c>
      <c r="O373" s="15">
        <f>IF($A373="","",IF($B373="Etsy",Settings!$C$20*($M373+IF(Settings!$C$54="Y",0,$H373)),0))</f>
        <v/>
      </c>
      <c r="P373" s="15">
        <f>IF($A373="","",IF($B373="Etsy",Settings!$C$21*$M373*(1+Settings!$C$55)+Settings!$C$22,IF($B373="Shopify",Settings!$C$14*$M373+Settings!$C$15,0)))</f>
        <v/>
      </c>
      <c r="Q373" s="15">
        <f>IF($A373="","",IF(AND($B373="Etsy",$I373="Y"),MIN(Settings!$C$12*($M373+IF(Settings!$C$54="Y",0,$H373)),Settings!$C$25),0))</f>
        <v/>
      </c>
      <c r="R373" s="15">
        <f>IF($A373="","",IF(AND($B373="Etsy",$J373="Y",$L373="Y",$M373&gt;0),($O373+Settings!$C$21*$M373*(1+Settings!$C$55)+IF(Settings!$C$59="Y",$Q373,0))*$T373/$M373+IF(AND(Settings!$C$58="Y",$T373&gt;=$M373),Settings!$C$22,0),0))</f>
        <v/>
      </c>
      <c r="S373" s="15">
        <f>IF($A373="","",$N373+$O373+$P373+$Q373-$R373)</f>
        <v/>
      </c>
      <c r="T373" s="15">
        <f>IF($A373="","",IF($J373="Y",IF($K373="",$M373,MIN($K373,$M373)),0))</f>
        <v/>
      </c>
      <c r="U373" s="15">
        <f>IF($A373="","",IF($D373="",1,$D373)*IFERROR(INDEX(Products!$F$5:$F$54,MATCH($C373,Products!$A$5:$A$54,0)),0))</f>
        <v/>
      </c>
      <c r="V373" s="27">
        <f>IF($A373="","",$M373-$T373-$S373-$U373-$G373)</f>
        <v/>
      </c>
      <c r="W373" s="31">
        <f>IF($A373="","",IF($M373-$T373&gt;0,$V373/($M373-$T373),""))</f>
        <v/>
      </c>
      <c r="X373" s="35">
        <f>IF($A373="","",DATE(YEAR($A373),MONTH($A373),1))</f>
        <v/>
      </c>
    </row>
    <row r="374">
      <c r="A374" s="18" t="n"/>
      <c r="B374" s="13" t="n"/>
      <c r="C374" s="13" t="n"/>
      <c r="D374" s="26" t="n"/>
      <c r="E374" s="12" t="n"/>
      <c r="F374" s="12" t="n"/>
      <c r="G374" s="12" t="n"/>
      <c r="H374" s="12" t="n"/>
      <c r="I374" s="13" t="n"/>
      <c r="J374" s="13" t="n"/>
      <c r="K374" s="12" t="n"/>
      <c r="L374" s="13" t="n"/>
      <c r="M374" s="15">
        <f>IF($A374="","",IF($D374="",1,$D374)*$E374+$F374-$H374)</f>
        <v/>
      </c>
      <c r="N374" s="15">
        <f>IF($A374="","",IF($B374="Etsy",IF($D374="",1,$D374)*Settings!$C$19,0))</f>
        <v/>
      </c>
      <c r="O374" s="15">
        <f>IF($A374="","",IF($B374="Etsy",Settings!$C$20*($M374+IF(Settings!$C$54="Y",0,$H374)),0))</f>
        <v/>
      </c>
      <c r="P374" s="15">
        <f>IF($A374="","",IF($B374="Etsy",Settings!$C$21*$M374*(1+Settings!$C$55)+Settings!$C$22,IF($B374="Shopify",Settings!$C$14*$M374+Settings!$C$15,0)))</f>
        <v/>
      </c>
      <c r="Q374" s="15">
        <f>IF($A374="","",IF(AND($B374="Etsy",$I374="Y"),MIN(Settings!$C$12*($M374+IF(Settings!$C$54="Y",0,$H374)),Settings!$C$25),0))</f>
        <v/>
      </c>
      <c r="R374" s="15">
        <f>IF($A374="","",IF(AND($B374="Etsy",$J374="Y",$L374="Y",$M374&gt;0),($O374+Settings!$C$21*$M374*(1+Settings!$C$55)+IF(Settings!$C$59="Y",$Q374,0))*$T374/$M374+IF(AND(Settings!$C$58="Y",$T374&gt;=$M374),Settings!$C$22,0),0))</f>
        <v/>
      </c>
      <c r="S374" s="15">
        <f>IF($A374="","",$N374+$O374+$P374+$Q374-$R374)</f>
        <v/>
      </c>
      <c r="T374" s="15">
        <f>IF($A374="","",IF($J374="Y",IF($K374="",$M374,MIN($K374,$M374)),0))</f>
        <v/>
      </c>
      <c r="U374" s="15">
        <f>IF($A374="","",IF($D374="",1,$D374)*IFERROR(INDEX(Products!$F$5:$F$54,MATCH($C374,Products!$A$5:$A$54,0)),0))</f>
        <v/>
      </c>
      <c r="V374" s="27">
        <f>IF($A374="","",$M374-$T374-$S374-$U374-$G374)</f>
        <v/>
      </c>
      <c r="W374" s="31">
        <f>IF($A374="","",IF($M374-$T374&gt;0,$V374/($M374-$T374),""))</f>
        <v/>
      </c>
      <c r="X374" s="35">
        <f>IF($A374="","",DATE(YEAR($A374),MONTH($A374),1))</f>
        <v/>
      </c>
    </row>
    <row r="375">
      <c r="A375" s="18" t="n"/>
      <c r="B375" s="13" t="n"/>
      <c r="C375" s="13" t="n"/>
      <c r="D375" s="26" t="n"/>
      <c r="E375" s="12" t="n"/>
      <c r="F375" s="12" t="n"/>
      <c r="G375" s="12" t="n"/>
      <c r="H375" s="12" t="n"/>
      <c r="I375" s="13" t="n"/>
      <c r="J375" s="13" t="n"/>
      <c r="K375" s="12" t="n"/>
      <c r="L375" s="13" t="n"/>
      <c r="M375" s="15">
        <f>IF($A375="","",IF($D375="",1,$D375)*$E375+$F375-$H375)</f>
        <v/>
      </c>
      <c r="N375" s="15">
        <f>IF($A375="","",IF($B375="Etsy",IF($D375="",1,$D375)*Settings!$C$19,0))</f>
        <v/>
      </c>
      <c r="O375" s="15">
        <f>IF($A375="","",IF($B375="Etsy",Settings!$C$20*($M375+IF(Settings!$C$54="Y",0,$H375)),0))</f>
        <v/>
      </c>
      <c r="P375" s="15">
        <f>IF($A375="","",IF($B375="Etsy",Settings!$C$21*$M375*(1+Settings!$C$55)+Settings!$C$22,IF($B375="Shopify",Settings!$C$14*$M375+Settings!$C$15,0)))</f>
        <v/>
      </c>
      <c r="Q375" s="15">
        <f>IF($A375="","",IF(AND($B375="Etsy",$I375="Y"),MIN(Settings!$C$12*($M375+IF(Settings!$C$54="Y",0,$H375)),Settings!$C$25),0))</f>
        <v/>
      </c>
      <c r="R375" s="15">
        <f>IF($A375="","",IF(AND($B375="Etsy",$J375="Y",$L375="Y",$M375&gt;0),($O375+Settings!$C$21*$M375*(1+Settings!$C$55)+IF(Settings!$C$59="Y",$Q375,0))*$T375/$M375+IF(AND(Settings!$C$58="Y",$T375&gt;=$M375),Settings!$C$22,0),0))</f>
        <v/>
      </c>
      <c r="S375" s="15">
        <f>IF($A375="","",$N375+$O375+$P375+$Q375-$R375)</f>
        <v/>
      </c>
      <c r="T375" s="15">
        <f>IF($A375="","",IF($J375="Y",IF($K375="",$M375,MIN($K375,$M375)),0))</f>
        <v/>
      </c>
      <c r="U375" s="15">
        <f>IF($A375="","",IF($D375="",1,$D375)*IFERROR(INDEX(Products!$F$5:$F$54,MATCH($C375,Products!$A$5:$A$54,0)),0))</f>
        <v/>
      </c>
      <c r="V375" s="27">
        <f>IF($A375="","",$M375-$T375-$S375-$U375-$G375)</f>
        <v/>
      </c>
      <c r="W375" s="31">
        <f>IF($A375="","",IF($M375-$T375&gt;0,$V375/($M375-$T375),""))</f>
        <v/>
      </c>
      <c r="X375" s="35">
        <f>IF($A375="","",DATE(YEAR($A375),MONTH($A375),1))</f>
        <v/>
      </c>
    </row>
    <row r="376">
      <c r="A376" s="18" t="n"/>
      <c r="B376" s="13" t="n"/>
      <c r="C376" s="13" t="n"/>
      <c r="D376" s="26" t="n"/>
      <c r="E376" s="12" t="n"/>
      <c r="F376" s="12" t="n"/>
      <c r="G376" s="12" t="n"/>
      <c r="H376" s="12" t="n"/>
      <c r="I376" s="13" t="n"/>
      <c r="J376" s="13" t="n"/>
      <c r="K376" s="12" t="n"/>
      <c r="L376" s="13" t="n"/>
      <c r="M376" s="15">
        <f>IF($A376="","",IF($D376="",1,$D376)*$E376+$F376-$H376)</f>
        <v/>
      </c>
      <c r="N376" s="15">
        <f>IF($A376="","",IF($B376="Etsy",IF($D376="",1,$D376)*Settings!$C$19,0))</f>
        <v/>
      </c>
      <c r="O376" s="15">
        <f>IF($A376="","",IF($B376="Etsy",Settings!$C$20*($M376+IF(Settings!$C$54="Y",0,$H376)),0))</f>
        <v/>
      </c>
      <c r="P376" s="15">
        <f>IF($A376="","",IF($B376="Etsy",Settings!$C$21*$M376*(1+Settings!$C$55)+Settings!$C$22,IF($B376="Shopify",Settings!$C$14*$M376+Settings!$C$15,0)))</f>
        <v/>
      </c>
      <c r="Q376" s="15">
        <f>IF($A376="","",IF(AND($B376="Etsy",$I376="Y"),MIN(Settings!$C$12*($M376+IF(Settings!$C$54="Y",0,$H376)),Settings!$C$25),0))</f>
        <v/>
      </c>
      <c r="R376" s="15">
        <f>IF($A376="","",IF(AND($B376="Etsy",$J376="Y",$L376="Y",$M376&gt;0),($O376+Settings!$C$21*$M376*(1+Settings!$C$55)+IF(Settings!$C$59="Y",$Q376,0))*$T376/$M376+IF(AND(Settings!$C$58="Y",$T376&gt;=$M376),Settings!$C$22,0),0))</f>
        <v/>
      </c>
      <c r="S376" s="15">
        <f>IF($A376="","",$N376+$O376+$P376+$Q376-$R376)</f>
        <v/>
      </c>
      <c r="T376" s="15">
        <f>IF($A376="","",IF($J376="Y",IF($K376="",$M376,MIN($K376,$M376)),0))</f>
        <v/>
      </c>
      <c r="U376" s="15">
        <f>IF($A376="","",IF($D376="",1,$D376)*IFERROR(INDEX(Products!$F$5:$F$54,MATCH($C376,Products!$A$5:$A$54,0)),0))</f>
        <v/>
      </c>
      <c r="V376" s="27">
        <f>IF($A376="","",$M376-$T376-$S376-$U376-$G376)</f>
        <v/>
      </c>
      <c r="W376" s="31">
        <f>IF($A376="","",IF($M376-$T376&gt;0,$V376/($M376-$T376),""))</f>
        <v/>
      </c>
      <c r="X376" s="35">
        <f>IF($A376="","",DATE(YEAR($A376),MONTH($A376),1))</f>
        <v/>
      </c>
    </row>
    <row r="377">
      <c r="A377" s="18" t="n"/>
      <c r="B377" s="13" t="n"/>
      <c r="C377" s="13" t="n"/>
      <c r="D377" s="26" t="n"/>
      <c r="E377" s="12" t="n"/>
      <c r="F377" s="12" t="n"/>
      <c r="G377" s="12" t="n"/>
      <c r="H377" s="12" t="n"/>
      <c r="I377" s="13" t="n"/>
      <c r="J377" s="13" t="n"/>
      <c r="K377" s="12" t="n"/>
      <c r="L377" s="13" t="n"/>
      <c r="M377" s="15">
        <f>IF($A377="","",IF($D377="",1,$D377)*$E377+$F377-$H377)</f>
        <v/>
      </c>
      <c r="N377" s="15">
        <f>IF($A377="","",IF($B377="Etsy",IF($D377="",1,$D377)*Settings!$C$19,0))</f>
        <v/>
      </c>
      <c r="O377" s="15">
        <f>IF($A377="","",IF($B377="Etsy",Settings!$C$20*($M377+IF(Settings!$C$54="Y",0,$H377)),0))</f>
        <v/>
      </c>
      <c r="P377" s="15">
        <f>IF($A377="","",IF($B377="Etsy",Settings!$C$21*$M377*(1+Settings!$C$55)+Settings!$C$22,IF($B377="Shopify",Settings!$C$14*$M377+Settings!$C$15,0)))</f>
        <v/>
      </c>
      <c r="Q377" s="15">
        <f>IF($A377="","",IF(AND($B377="Etsy",$I377="Y"),MIN(Settings!$C$12*($M377+IF(Settings!$C$54="Y",0,$H377)),Settings!$C$25),0))</f>
        <v/>
      </c>
      <c r="R377" s="15">
        <f>IF($A377="","",IF(AND($B377="Etsy",$J377="Y",$L377="Y",$M377&gt;0),($O377+Settings!$C$21*$M377*(1+Settings!$C$55)+IF(Settings!$C$59="Y",$Q377,0))*$T377/$M377+IF(AND(Settings!$C$58="Y",$T377&gt;=$M377),Settings!$C$22,0),0))</f>
        <v/>
      </c>
      <c r="S377" s="15">
        <f>IF($A377="","",$N377+$O377+$P377+$Q377-$R377)</f>
        <v/>
      </c>
      <c r="T377" s="15">
        <f>IF($A377="","",IF($J377="Y",IF($K377="",$M377,MIN($K377,$M377)),0))</f>
        <v/>
      </c>
      <c r="U377" s="15">
        <f>IF($A377="","",IF($D377="",1,$D377)*IFERROR(INDEX(Products!$F$5:$F$54,MATCH($C377,Products!$A$5:$A$54,0)),0))</f>
        <v/>
      </c>
      <c r="V377" s="27">
        <f>IF($A377="","",$M377-$T377-$S377-$U377-$G377)</f>
        <v/>
      </c>
      <c r="W377" s="31">
        <f>IF($A377="","",IF($M377-$T377&gt;0,$V377/($M377-$T377),""))</f>
        <v/>
      </c>
      <c r="X377" s="35">
        <f>IF($A377="","",DATE(YEAR($A377),MONTH($A377),1))</f>
        <v/>
      </c>
    </row>
    <row r="378">
      <c r="A378" s="18" t="n"/>
      <c r="B378" s="13" t="n"/>
      <c r="C378" s="13" t="n"/>
      <c r="D378" s="26" t="n"/>
      <c r="E378" s="12" t="n"/>
      <c r="F378" s="12" t="n"/>
      <c r="G378" s="12" t="n"/>
      <c r="H378" s="12" t="n"/>
      <c r="I378" s="13" t="n"/>
      <c r="J378" s="13" t="n"/>
      <c r="K378" s="12" t="n"/>
      <c r="L378" s="13" t="n"/>
      <c r="M378" s="15">
        <f>IF($A378="","",IF($D378="",1,$D378)*$E378+$F378-$H378)</f>
        <v/>
      </c>
      <c r="N378" s="15">
        <f>IF($A378="","",IF($B378="Etsy",IF($D378="",1,$D378)*Settings!$C$19,0))</f>
        <v/>
      </c>
      <c r="O378" s="15">
        <f>IF($A378="","",IF($B378="Etsy",Settings!$C$20*($M378+IF(Settings!$C$54="Y",0,$H378)),0))</f>
        <v/>
      </c>
      <c r="P378" s="15">
        <f>IF($A378="","",IF($B378="Etsy",Settings!$C$21*$M378*(1+Settings!$C$55)+Settings!$C$22,IF($B378="Shopify",Settings!$C$14*$M378+Settings!$C$15,0)))</f>
        <v/>
      </c>
      <c r="Q378" s="15">
        <f>IF($A378="","",IF(AND($B378="Etsy",$I378="Y"),MIN(Settings!$C$12*($M378+IF(Settings!$C$54="Y",0,$H378)),Settings!$C$25),0))</f>
        <v/>
      </c>
      <c r="R378" s="15">
        <f>IF($A378="","",IF(AND($B378="Etsy",$J378="Y",$L378="Y",$M378&gt;0),($O378+Settings!$C$21*$M378*(1+Settings!$C$55)+IF(Settings!$C$59="Y",$Q378,0))*$T378/$M378+IF(AND(Settings!$C$58="Y",$T378&gt;=$M378),Settings!$C$22,0),0))</f>
        <v/>
      </c>
      <c r="S378" s="15">
        <f>IF($A378="","",$N378+$O378+$P378+$Q378-$R378)</f>
        <v/>
      </c>
      <c r="T378" s="15">
        <f>IF($A378="","",IF($J378="Y",IF($K378="",$M378,MIN($K378,$M378)),0))</f>
        <v/>
      </c>
      <c r="U378" s="15">
        <f>IF($A378="","",IF($D378="",1,$D378)*IFERROR(INDEX(Products!$F$5:$F$54,MATCH($C378,Products!$A$5:$A$54,0)),0))</f>
        <v/>
      </c>
      <c r="V378" s="27">
        <f>IF($A378="","",$M378-$T378-$S378-$U378-$G378)</f>
        <v/>
      </c>
      <c r="W378" s="31">
        <f>IF($A378="","",IF($M378-$T378&gt;0,$V378/($M378-$T378),""))</f>
        <v/>
      </c>
      <c r="X378" s="35">
        <f>IF($A378="","",DATE(YEAR($A378),MONTH($A378),1))</f>
        <v/>
      </c>
    </row>
    <row r="379">
      <c r="A379" s="18" t="n"/>
      <c r="B379" s="13" t="n"/>
      <c r="C379" s="13" t="n"/>
      <c r="D379" s="26" t="n"/>
      <c r="E379" s="12" t="n"/>
      <c r="F379" s="12" t="n"/>
      <c r="G379" s="12" t="n"/>
      <c r="H379" s="12" t="n"/>
      <c r="I379" s="13" t="n"/>
      <c r="J379" s="13" t="n"/>
      <c r="K379" s="12" t="n"/>
      <c r="L379" s="13" t="n"/>
      <c r="M379" s="15">
        <f>IF($A379="","",IF($D379="",1,$D379)*$E379+$F379-$H379)</f>
        <v/>
      </c>
      <c r="N379" s="15">
        <f>IF($A379="","",IF($B379="Etsy",IF($D379="",1,$D379)*Settings!$C$19,0))</f>
        <v/>
      </c>
      <c r="O379" s="15">
        <f>IF($A379="","",IF($B379="Etsy",Settings!$C$20*($M379+IF(Settings!$C$54="Y",0,$H379)),0))</f>
        <v/>
      </c>
      <c r="P379" s="15">
        <f>IF($A379="","",IF($B379="Etsy",Settings!$C$21*$M379*(1+Settings!$C$55)+Settings!$C$22,IF($B379="Shopify",Settings!$C$14*$M379+Settings!$C$15,0)))</f>
        <v/>
      </c>
      <c r="Q379" s="15">
        <f>IF($A379="","",IF(AND($B379="Etsy",$I379="Y"),MIN(Settings!$C$12*($M379+IF(Settings!$C$54="Y",0,$H379)),Settings!$C$25),0))</f>
        <v/>
      </c>
      <c r="R379" s="15">
        <f>IF($A379="","",IF(AND($B379="Etsy",$J379="Y",$L379="Y",$M379&gt;0),($O379+Settings!$C$21*$M379*(1+Settings!$C$55)+IF(Settings!$C$59="Y",$Q379,0))*$T379/$M379+IF(AND(Settings!$C$58="Y",$T379&gt;=$M379),Settings!$C$22,0),0))</f>
        <v/>
      </c>
      <c r="S379" s="15">
        <f>IF($A379="","",$N379+$O379+$P379+$Q379-$R379)</f>
        <v/>
      </c>
      <c r="T379" s="15">
        <f>IF($A379="","",IF($J379="Y",IF($K379="",$M379,MIN($K379,$M379)),0))</f>
        <v/>
      </c>
      <c r="U379" s="15">
        <f>IF($A379="","",IF($D379="",1,$D379)*IFERROR(INDEX(Products!$F$5:$F$54,MATCH($C379,Products!$A$5:$A$54,0)),0))</f>
        <v/>
      </c>
      <c r="V379" s="27">
        <f>IF($A379="","",$M379-$T379-$S379-$U379-$G379)</f>
        <v/>
      </c>
      <c r="W379" s="31">
        <f>IF($A379="","",IF($M379-$T379&gt;0,$V379/($M379-$T379),""))</f>
        <v/>
      </c>
      <c r="X379" s="35">
        <f>IF($A379="","",DATE(YEAR($A379),MONTH($A379),1))</f>
        <v/>
      </c>
    </row>
    <row r="380">
      <c r="A380" s="18" t="n"/>
      <c r="B380" s="13" t="n"/>
      <c r="C380" s="13" t="n"/>
      <c r="D380" s="26" t="n"/>
      <c r="E380" s="12" t="n"/>
      <c r="F380" s="12" t="n"/>
      <c r="G380" s="12" t="n"/>
      <c r="H380" s="12" t="n"/>
      <c r="I380" s="13" t="n"/>
      <c r="J380" s="13" t="n"/>
      <c r="K380" s="12" t="n"/>
      <c r="L380" s="13" t="n"/>
      <c r="M380" s="15">
        <f>IF($A380="","",IF($D380="",1,$D380)*$E380+$F380-$H380)</f>
        <v/>
      </c>
      <c r="N380" s="15">
        <f>IF($A380="","",IF($B380="Etsy",IF($D380="",1,$D380)*Settings!$C$19,0))</f>
        <v/>
      </c>
      <c r="O380" s="15">
        <f>IF($A380="","",IF($B380="Etsy",Settings!$C$20*($M380+IF(Settings!$C$54="Y",0,$H380)),0))</f>
        <v/>
      </c>
      <c r="P380" s="15">
        <f>IF($A380="","",IF($B380="Etsy",Settings!$C$21*$M380*(1+Settings!$C$55)+Settings!$C$22,IF($B380="Shopify",Settings!$C$14*$M380+Settings!$C$15,0)))</f>
        <v/>
      </c>
      <c r="Q380" s="15">
        <f>IF($A380="","",IF(AND($B380="Etsy",$I380="Y"),MIN(Settings!$C$12*($M380+IF(Settings!$C$54="Y",0,$H380)),Settings!$C$25),0))</f>
        <v/>
      </c>
      <c r="R380" s="15">
        <f>IF($A380="","",IF(AND($B380="Etsy",$J380="Y",$L380="Y",$M380&gt;0),($O380+Settings!$C$21*$M380*(1+Settings!$C$55)+IF(Settings!$C$59="Y",$Q380,0))*$T380/$M380+IF(AND(Settings!$C$58="Y",$T380&gt;=$M380),Settings!$C$22,0),0))</f>
        <v/>
      </c>
      <c r="S380" s="15">
        <f>IF($A380="","",$N380+$O380+$P380+$Q380-$R380)</f>
        <v/>
      </c>
      <c r="T380" s="15">
        <f>IF($A380="","",IF($J380="Y",IF($K380="",$M380,MIN($K380,$M380)),0))</f>
        <v/>
      </c>
      <c r="U380" s="15">
        <f>IF($A380="","",IF($D380="",1,$D380)*IFERROR(INDEX(Products!$F$5:$F$54,MATCH($C380,Products!$A$5:$A$54,0)),0))</f>
        <v/>
      </c>
      <c r="V380" s="27">
        <f>IF($A380="","",$M380-$T380-$S380-$U380-$G380)</f>
        <v/>
      </c>
      <c r="W380" s="31">
        <f>IF($A380="","",IF($M380-$T380&gt;0,$V380/($M380-$T380),""))</f>
        <v/>
      </c>
      <c r="X380" s="35">
        <f>IF($A380="","",DATE(YEAR($A380),MONTH($A380),1))</f>
        <v/>
      </c>
    </row>
    <row r="381">
      <c r="A381" s="18" t="n"/>
      <c r="B381" s="13" t="n"/>
      <c r="C381" s="13" t="n"/>
      <c r="D381" s="26" t="n"/>
      <c r="E381" s="12" t="n"/>
      <c r="F381" s="12" t="n"/>
      <c r="G381" s="12" t="n"/>
      <c r="H381" s="12" t="n"/>
      <c r="I381" s="13" t="n"/>
      <c r="J381" s="13" t="n"/>
      <c r="K381" s="12" t="n"/>
      <c r="L381" s="13" t="n"/>
      <c r="M381" s="15">
        <f>IF($A381="","",IF($D381="",1,$D381)*$E381+$F381-$H381)</f>
        <v/>
      </c>
      <c r="N381" s="15">
        <f>IF($A381="","",IF($B381="Etsy",IF($D381="",1,$D381)*Settings!$C$19,0))</f>
        <v/>
      </c>
      <c r="O381" s="15">
        <f>IF($A381="","",IF($B381="Etsy",Settings!$C$20*($M381+IF(Settings!$C$54="Y",0,$H381)),0))</f>
        <v/>
      </c>
      <c r="P381" s="15">
        <f>IF($A381="","",IF($B381="Etsy",Settings!$C$21*$M381*(1+Settings!$C$55)+Settings!$C$22,IF($B381="Shopify",Settings!$C$14*$M381+Settings!$C$15,0)))</f>
        <v/>
      </c>
      <c r="Q381" s="15">
        <f>IF($A381="","",IF(AND($B381="Etsy",$I381="Y"),MIN(Settings!$C$12*($M381+IF(Settings!$C$54="Y",0,$H381)),Settings!$C$25),0))</f>
        <v/>
      </c>
      <c r="R381" s="15">
        <f>IF($A381="","",IF(AND($B381="Etsy",$J381="Y",$L381="Y",$M381&gt;0),($O381+Settings!$C$21*$M381*(1+Settings!$C$55)+IF(Settings!$C$59="Y",$Q381,0))*$T381/$M381+IF(AND(Settings!$C$58="Y",$T381&gt;=$M381),Settings!$C$22,0),0))</f>
        <v/>
      </c>
      <c r="S381" s="15">
        <f>IF($A381="","",$N381+$O381+$P381+$Q381-$R381)</f>
        <v/>
      </c>
      <c r="T381" s="15">
        <f>IF($A381="","",IF($J381="Y",IF($K381="",$M381,MIN($K381,$M381)),0))</f>
        <v/>
      </c>
      <c r="U381" s="15">
        <f>IF($A381="","",IF($D381="",1,$D381)*IFERROR(INDEX(Products!$F$5:$F$54,MATCH($C381,Products!$A$5:$A$54,0)),0))</f>
        <v/>
      </c>
      <c r="V381" s="27">
        <f>IF($A381="","",$M381-$T381-$S381-$U381-$G381)</f>
        <v/>
      </c>
      <c r="W381" s="31">
        <f>IF($A381="","",IF($M381-$T381&gt;0,$V381/($M381-$T381),""))</f>
        <v/>
      </c>
      <c r="X381" s="35">
        <f>IF($A381="","",DATE(YEAR($A381),MONTH($A381),1))</f>
        <v/>
      </c>
    </row>
    <row r="382">
      <c r="A382" s="18" t="n"/>
      <c r="B382" s="13" t="n"/>
      <c r="C382" s="13" t="n"/>
      <c r="D382" s="26" t="n"/>
      <c r="E382" s="12" t="n"/>
      <c r="F382" s="12" t="n"/>
      <c r="G382" s="12" t="n"/>
      <c r="H382" s="12" t="n"/>
      <c r="I382" s="13" t="n"/>
      <c r="J382" s="13" t="n"/>
      <c r="K382" s="12" t="n"/>
      <c r="L382" s="13" t="n"/>
      <c r="M382" s="15">
        <f>IF($A382="","",IF($D382="",1,$D382)*$E382+$F382-$H382)</f>
        <v/>
      </c>
      <c r="N382" s="15">
        <f>IF($A382="","",IF($B382="Etsy",IF($D382="",1,$D382)*Settings!$C$19,0))</f>
        <v/>
      </c>
      <c r="O382" s="15">
        <f>IF($A382="","",IF($B382="Etsy",Settings!$C$20*($M382+IF(Settings!$C$54="Y",0,$H382)),0))</f>
        <v/>
      </c>
      <c r="P382" s="15">
        <f>IF($A382="","",IF($B382="Etsy",Settings!$C$21*$M382*(1+Settings!$C$55)+Settings!$C$22,IF($B382="Shopify",Settings!$C$14*$M382+Settings!$C$15,0)))</f>
        <v/>
      </c>
      <c r="Q382" s="15">
        <f>IF($A382="","",IF(AND($B382="Etsy",$I382="Y"),MIN(Settings!$C$12*($M382+IF(Settings!$C$54="Y",0,$H382)),Settings!$C$25),0))</f>
        <v/>
      </c>
      <c r="R382" s="15">
        <f>IF($A382="","",IF(AND($B382="Etsy",$J382="Y",$L382="Y",$M382&gt;0),($O382+Settings!$C$21*$M382*(1+Settings!$C$55)+IF(Settings!$C$59="Y",$Q382,0))*$T382/$M382+IF(AND(Settings!$C$58="Y",$T382&gt;=$M382),Settings!$C$22,0),0))</f>
        <v/>
      </c>
      <c r="S382" s="15">
        <f>IF($A382="","",$N382+$O382+$P382+$Q382-$R382)</f>
        <v/>
      </c>
      <c r="T382" s="15">
        <f>IF($A382="","",IF($J382="Y",IF($K382="",$M382,MIN($K382,$M382)),0))</f>
        <v/>
      </c>
      <c r="U382" s="15">
        <f>IF($A382="","",IF($D382="",1,$D382)*IFERROR(INDEX(Products!$F$5:$F$54,MATCH($C382,Products!$A$5:$A$54,0)),0))</f>
        <v/>
      </c>
      <c r="V382" s="27">
        <f>IF($A382="","",$M382-$T382-$S382-$U382-$G382)</f>
        <v/>
      </c>
      <c r="W382" s="31">
        <f>IF($A382="","",IF($M382-$T382&gt;0,$V382/($M382-$T382),""))</f>
        <v/>
      </c>
      <c r="X382" s="35">
        <f>IF($A382="","",DATE(YEAR($A382),MONTH($A382),1))</f>
        <v/>
      </c>
    </row>
    <row r="383">
      <c r="A383" s="18" t="n"/>
      <c r="B383" s="13" t="n"/>
      <c r="C383" s="13" t="n"/>
      <c r="D383" s="26" t="n"/>
      <c r="E383" s="12" t="n"/>
      <c r="F383" s="12" t="n"/>
      <c r="G383" s="12" t="n"/>
      <c r="H383" s="12" t="n"/>
      <c r="I383" s="13" t="n"/>
      <c r="J383" s="13" t="n"/>
      <c r="K383" s="12" t="n"/>
      <c r="L383" s="13" t="n"/>
      <c r="M383" s="15">
        <f>IF($A383="","",IF($D383="",1,$D383)*$E383+$F383-$H383)</f>
        <v/>
      </c>
      <c r="N383" s="15">
        <f>IF($A383="","",IF($B383="Etsy",IF($D383="",1,$D383)*Settings!$C$19,0))</f>
        <v/>
      </c>
      <c r="O383" s="15">
        <f>IF($A383="","",IF($B383="Etsy",Settings!$C$20*($M383+IF(Settings!$C$54="Y",0,$H383)),0))</f>
        <v/>
      </c>
      <c r="P383" s="15">
        <f>IF($A383="","",IF($B383="Etsy",Settings!$C$21*$M383*(1+Settings!$C$55)+Settings!$C$22,IF($B383="Shopify",Settings!$C$14*$M383+Settings!$C$15,0)))</f>
        <v/>
      </c>
      <c r="Q383" s="15">
        <f>IF($A383="","",IF(AND($B383="Etsy",$I383="Y"),MIN(Settings!$C$12*($M383+IF(Settings!$C$54="Y",0,$H383)),Settings!$C$25),0))</f>
        <v/>
      </c>
      <c r="R383" s="15">
        <f>IF($A383="","",IF(AND($B383="Etsy",$J383="Y",$L383="Y",$M383&gt;0),($O383+Settings!$C$21*$M383*(1+Settings!$C$55)+IF(Settings!$C$59="Y",$Q383,0))*$T383/$M383+IF(AND(Settings!$C$58="Y",$T383&gt;=$M383),Settings!$C$22,0),0))</f>
        <v/>
      </c>
      <c r="S383" s="15">
        <f>IF($A383="","",$N383+$O383+$P383+$Q383-$R383)</f>
        <v/>
      </c>
      <c r="T383" s="15">
        <f>IF($A383="","",IF($J383="Y",IF($K383="",$M383,MIN($K383,$M383)),0))</f>
        <v/>
      </c>
      <c r="U383" s="15">
        <f>IF($A383="","",IF($D383="",1,$D383)*IFERROR(INDEX(Products!$F$5:$F$54,MATCH($C383,Products!$A$5:$A$54,0)),0))</f>
        <v/>
      </c>
      <c r="V383" s="27">
        <f>IF($A383="","",$M383-$T383-$S383-$U383-$G383)</f>
        <v/>
      </c>
      <c r="W383" s="31">
        <f>IF($A383="","",IF($M383-$T383&gt;0,$V383/($M383-$T383),""))</f>
        <v/>
      </c>
      <c r="X383" s="35">
        <f>IF($A383="","",DATE(YEAR($A383),MONTH($A383),1))</f>
        <v/>
      </c>
    </row>
    <row r="384">
      <c r="A384" s="18" t="n"/>
      <c r="B384" s="13" t="n"/>
      <c r="C384" s="13" t="n"/>
      <c r="D384" s="26" t="n"/>
      <c r="E384" s="12" t="n"/>
      <c r="F384" s="12" t="n"/>
      <c r="G384" s="12" t="n"/>
      <c r="H384" s="12" t="n"/>
      <c r="I384" s="13" t="n"/>
      <c r="J384" s="13" t="n"/>
      <c r="K384" s="12" t="n"/>
      <c r="L384" s="13" t="n"/>
      <c r="M384" s="15">
        <f>IF($A384="","",IF($D384="",1,$D384)*$E384+$F384-$H384)</f>
        <v/>
      </c>
      <c r="N384" s="15">
        <f>IF($A384="","",IF($B384="Etsy",IF($D384="",1,$D384)*Settings!$C$19,0))</f>
        <v/>
      </c>
      <c r="O384" s="15">
        <f>IF($A384="","",IF($B384="Etsy",Settings!$C$20*($M384+IF(Settings!$C$54="Y",0,$H384)),0))</f>
        <v/>
      </c>
      <c r="P384" s="15">
        <f>IF($A384="","",IF($B384="Etsy",Settings!$C$21*$M384*(1+Settings!$C$55)+Settings!$C$22,IF($B384="Shopify",Settings!$C$14*$M384+Settings!$C$15,0)))</f>
        <v/>
      </c>
      <c r="Q384" s="15">
        <f>IF($A384="","",IF(AND($B384="Etsy",$I384="Y"),MIN(Settings!$C$12*($M384+IF(Settings!$C$54="Y",0,$H384)),Settings!$C$25),0))</f>
        <v/>
      </c>
      <c r="R384" s="15">
        <f>IF($A384="","",IF(AND($B384="Etsy",$J384="Y",$L384="Y",$M384&gt;0),($O384+Settings!$C$21*$M384*(1+Settings!$C$55)+IF(Settings!$C$59="Y",$Q384,0))*$T384/$M384+IF(AND(Settings!$C$58="Y",$T384&gt;=$M384),Settings!$C$22,0),0))</f>
        <v/>
      </c>
      <c r="S384" s="15">
        <f>IF($A384="","",$N384+$O384+$P384+$Q384-$R384)</f>
        <v/>
      </c>
      <c r="T384" s="15">
        <f>IF($A384="","",IF($J384="Y",IF($K384="",$M384,MIN($K384,$M384)),0))</f>
        <v/>
      </c>
      <c r="U384" s="15">
        <f>IF($A384="","",IF($D384="",1,$D384)*IFERROR(INDEX(Products!$F$5:$F$54,MATCH($C384,Products!$A$5:$A$54,0)),0))</f>
        <v/>
      </c>
      <c r="V384" s="27">
        <f>IF($A384="","",$M384-$T384-$S384-$U384-$G384)</f>
        <v/>
      </c>
      <c r="W384" s="31">
        <f>IF($A384="","",IF($M384-$T384&gt;0,$V384/($M384-$T384),""))</f>
        <v/>
      </c>
      <c r="X384" s="35">
        <f>IF($A384="","",DATE(YEAR($A384),MONTH($A384),1))</f>
        <v/>
      </c>
    </row>
    <row r="385">
      <c r="A385" s="18" t="n"/>
      <c r="B385" s="13" t="n"/>
      <c r="C385" s="13" t="n"/>
      <c r="D385" s="26" t="n"/>
      <c r="E385" s="12" t="n"/>
      <c r="F385" s="12" t="n"/>
      <c r="G385" s="12" t="n"/>
      <c r="H385" s="12" t="n"/>
      <c r="I385" s="13" t="n"/>
      <c r="J385" s="13" t="n"/>
      <c r="K385" s="12" t="n"/>
      <c r="L385" s="13" t="n"/>
      <c r="M385" s="15">
        <f>IF($A385="","",IF($D385="",1,$D385)*$E385+$F385-$H385)</f>
        <v/>
      </c>
      <c r="N385" s="15">
        <f>IF($A385="","",IF($B385="Etsy",IF($D385="",1,$D385)*Settings!$C$19,0))</f>
        <v/>
      </c>
      <c r="O385" s="15">
        <f>IF($A385="","",IF($B385="Etsy",Settings!$C$20*($M385+IF(Settings!$C$54="Y",0,$H385)),0))</f>
        <v/>
      </c>
      <c r="P385" s="15">
        <f>IF($A385="","",IF($B385="Etsy",Settings!$C$21*$M385*(1+Settings!$C$55)+Settings!$C$22,IF($B385="Shopify",Settings!$C$14*$M385+Settings!$C$15,0)))</f>
        <v/>
      </c>
      <c r="Q385" s="15">
        <f>IF($A385="","",IF(AND($B385="Etsy",$I385="Y"),MIN(Settings!$C$12*($M385+IF(Settings!$C$54="Y",0,$H385)),Settings!$C$25),0))</f>
        <v/>
      </c>
      <c r="R385" s="15">
        <f>IF($A385="","",IF(AND($B385="Etsy",$J385="Y",$L385="Y",$M385&gt;0),($O385+Settings!$C$21*$M385*(1+Settings!$C$55)+IF(Settings!$C$59="Y",$Q385,0))*$T385/$M385+IF(AND(Settings!$C$58="Y",$T385&gt;=$M385),Settings!$C$22,0),0))</f>
        <v/>
      </c>
      <c r="S385" s="15">
        <f>IF($A385="","",$N385+$O385+$P385+$Q385-$R385)</f>
        <v/>
      </c>
      <c r="T385" s="15">
        <f>IF($A385="","",IF($J385="Y",IF($K385="",$M385,MIN($K385,$M385)),0))</f>
        <v/>
      </c>
      <c r="U385" s="15">
        <f>IF($A385="","",IF($D385="",1,$D385)*IFERROR(INDEX(Products!$F$5:$F$54,MATCH($C385,Products!$A$5:$A$54,0)),0))</f>
        <v/>
      </c>
      <c r="V385" s="27">
        <f>IF($A385="","",$M385-$T385-$S385-$U385-$G385)</f>
        <v/>
      </c>
      <c r="W385" s="31">
        <f>IF($A385="","",IF($M385-$T385&gt;0,$V385/($M385-$T385),""))</f>
        <v/>
      </c>
      <c r="X385" s="35">
        <f>IF($A385="","",DATE(YEAR($A385),MONTH($A385),1))</f>
        <v/>
      </c>
    </row>
    <row r="386">
      <c r="A386" s="18" t="n"/>
      <c r="B386" s="13" t="n"/>
      <c r="C386" s="13" t="n"/>
      <c r="D386" s="26" t="n"/>
      <c r="E386" s="12" t="n"/>
      <c r="F386" s="12" t="n"/>
      <c r="G386" s="12" t="n"/>
      <c r="H386" s="12" t="n"/>
      <c r="I386" s="13" t="n"/>
      <c r="J386" s="13" t="n"/>
      <c r="K386" s="12" t="n"/>
      <c r="L386" s="13" t="n"/>
      <c r="M386" s="15">
        <f>IF($A386="","",IF($D386="",1,$D386)*$E386+$F386-$H386)</f>
        <v/>
      </c>
      <c r="N386" s="15">
        <f>IF($A386="","",IF($B386="Etsy",IF($D386="",1,$D386)*Settings!$C$19,0))</f>
        <v/>
      </c>
      <c r="O386" s="15">
        <f>IF($A386="","",IF($B386="Etsy",Settings!$C$20*($M386+IF(Settings!$C$54="Y",0,$H386)),0))</f>
        <v/>
      </c>
      <c r="P386" s="15">
        <f>IF($A386="","",IF($B386="Etsy",Settings!$C$21*$M386*(1+Settings!$C$55)+Settings!$C$22,IF($B386="Shopify",Settings!$C$14*$M386+Settings!$C$15,0)))</f>
        <v/>
      </c>
      <c r="Q386" s="15">
        <f>IF($A386="","",IF(AND($B386="Etsy",$I386="Y"),MIN(Settings!$C$12*($M386+IF(Settings!$C$54="Y",0,$H386)),Settings!$C$25),0))</f>
        <v/>
      </c>
      <c r="R386" s="15">
        <f>IF($A386="","",IF(AND($B386="Etsy",$J386="Y",$L386="Y",$M386&gt;0),($O386+Settings!$C$21*$M386*(1+Settings!$C$55)+IF(Settings!$C$59="Y",$Q386,0))*$T386/$M386+IF(AND(Settings!$C$58="Y",$T386&gt;=$M386),Settings!$C$22,0),0))</f>
        <v/>
      </c>
      <c r="S386" s="15">
        <f>IF($A386="","",$N386+$O386+$P386+$Q386-$R386)</f>
        <v/>
      </c>
      <c r="T386" s="15">
        <f>IF($A386="","",IF($J386="Y",IF($K386="",$M386,MIN($K386,$M386)),0))</f>
        <v/>
      </c>
      <c r="U386" s="15">
        <f>IF($A386="","",IF($D386="",1,$D386)*IFERROR(INDEX(Products!$F$5:$F$54,MATCH($C386,Products!$A$5:$A$54,0)),0))</f>
        <v/>
      </c>
      <c r="V386" s="27">
        <f>IF($A386="","",$M386-$T386-$S386-$U386-$G386)</f>
        <v/>
      </c>
      <c r="W386" s="31">
        <f>IF($A386="","",IF($M386-$T386&gt;0,$V386/($M386-$T386),""))</f>
        <v/>
      </c>
      <c r="X386" s="35">
        <f>IF($A386="","",DATE(YEAR($A386),MONTH($A386),1))</f>
        <v/>
      </c>
    </row>
    <row r="387">
      <c r="A387" s="18" t="n"/>
      <c r="B387" s="13" t="n"/>
      <c r="C387" s="13" t="n"/>
      <c r="D387" s="26" t="n"/>
      <c r="E387" s="12" t="n"/>
      <c r="F387" s="12" t="n"/>
      <c r="G387" s="12" t="n"/>
      <c r="H387" s="12" t="n"/>
      <c r="I387" s="13" t="n"/>
      <c r="J387" s="13" t="n"/>
      <c r="K387" s="12" t="n"/>
      <c r="L387" s="13" t="n"/>
      <c r="M387" s="15">
        <f>IF($A387="","",IF($D387="",1,$D387)*$E387+$F387-$H387)</f>
        <v/>
      </c>
      <c r="N387" s="15">
        <f>IF($A387="","",IF($B387="Etsy",IF($D387="",1,$D387)*Settings!$C$19,0))</f>
        <v/>
      </c>
      <c r="O387" s="15">
        <f>IF($A387="","",IF($B387="Etsy",Settings!$C$20*($M387+IF(Settings!$C$54="Y",0,$H387)),0))</f>
        <v/>
      </c>
      <c r="P387" s="15">
        <f>IF($A387="","",IF($B387="Etsy",Settings!$C$21*$M387*(1+Settings!$C$55)+Settings!$C$22,IF($B387="Shopify",Settings!$C$14*$M387+Settings!$C$15,0)))</f>
        <v/>
      </c>
      <c r="Q387" s="15">
        <f>IF($A387="","",IF(AND($B387="Etsy",$I387="Y"),MIN(Settings!$C$12*($M387+IF(Settings!$C$54="Y",0,$H387)),Settings!$C$25),0))</f>
        <v/>
      </c>
      <c r="R387" s="15">
        <f>IF($A387="","",IF(AND($B387="Etsy",$J387="Y",$L387="Y",$M387&gt;0),($O387+Settings!$C$21*$M387*(1+Settings!$C$55)+IF(Settings!$C$59="Y",$Q387,0))*$T387/$M387+IF(AND(Settings!$C$58="Y",$T387&gt;=$M387),Settings!$C$22,0),0))</f>
        <v/>
      </c>
      <c r="S387" s="15">
        <f>IF($A387="","",$N387+$O387+$P387+$Q387-$R387)</f>
        <v/>
      </c>
      <c r="T387" s="15">
        <f>IF($A387="","",IF($J387="Y",IF($K387="",$M387,MIN($K387,$M387)),0))</f>
        <v/>
      </c>
      <c r="U387" s="15">
        <f>IF($A387="","",IF($D387="",1,$D387)*IFERROR(INDEX(Products!$F$5:$F$54,MATCH($C387,Products!$A$5:$A$54,0)),0))</f>
        <v/>
      </c>
      <c r="V387" s="27">
        <f>IF($A387="","",$M387-$T387-$S387-$U387-$G387)</f>
        <v/>
      </c>
      <c r="W387" s="31">
        <f>IF($A387="","",IF($M387-$T387&gt;0,$V387/($M387-$T387),""))</f>
        <v/>
      </c>
      <c r="X387" s="35">
        <f>IF($A387="","",DATE(YEAR($A387),MONTH($A387),1))</f>
        <v/>
      </c>
    </row>
    <row r="388">
      <c r="A388" s="18" t="n"/>
      <c r="B388" s="13" t="n"/>
      <c r="C388" s="13" t="n"/>
      <c r="D388" s="26" t="n"/>
      <c r="E388" s="12" t="n"/>
      <c r="F388" s="12" t="n"/>
      <c r="G388" s="12" t="n"/>
      <c r="H388" s="12" t="n"/>
      <c r="I388" s="13" t="n"/>
      <c r="J388" s="13" t="n"/>
      <c r="K388" s="12" t="n"/>
      <c r="L388" s="13" t="n"/>
      <c r="M388" s="15">
        <f>IF($A388="","",IF($D388="",1,$D388)*$E388+$F388-$H388)</f>
        <v/>
      </c>
      <c r="N388" s="15">
        <f>IF($A388="","",IF($B388="Etsy",IF($D388="",1,$D388)*Settings!$C$19,0))</f>
        <v/>
      </c>
      <c r="O388" s="15">
        <f>IF($A388="","",IF($B388="Etsy",Settings!$C$20*($M388+IF(Settings!$C$54="Y",0,$H388)),0))</f>
        <v/>
      </c>
      <c r="P388" s="15">
        <f>IF($A388="","",IF($B388="Etsy",Settings!$C$21*$M388*(1+Settings!$C$55)+Settings!$C$22,IF($B388="Shopify",Settings!$C$14*$M388+Settings!$C$15,0)))</f>
        <v/>
      </c>
      <c r="Q388" s="15">
        <f>IF($A388="","",IF(AND($B388="Etsy",$I388="Y"),MIN(Settings!$C$12*($M388+IF(Settings!$C$54="Y",0,$H388)),Settings!$C$25),0))</f>
        <v/>
      </c>
      <c r="R388" s="15">
        <f>IF($A388="","",IF(AND($B388="Etsy",$J388="Y",$L388="Y",$M388&gt;0),($O388+Settings!$C$21*$M388*(1+Settings!$C$55)+IF(Settings!$C$59="Y",$Q388,0))*$T388/$M388+IF(AND(Settings!$C$58="Y",$T388&gt;=$M388),Settings!$C$22,0),0))</f>
        <v/>
      </c>
      <c r="S388" s="15">
        <f>IF($A388="","",$N388+$O388+$P388+$Q388-$R388)</f>
        <v/>
      </c>
      <c r="T388" s="15">
        <f>IF($A388="","",IF($J388="Y",IF($K388="",$M388,MIN($K388,$M388)),0))</f>
        <v/>
      </c>
      <c r="U388" s="15">
        <f>IF($A388="","",IF($D388="",1,$D388)*IFERROR(INDEX(Products!$F$5:$F$54,MATCH($C388,Products!$A$5:$A$54,0)),0))</f>
        <v/>
      </c>
      <c r="V388" s="27">
        <f>IF($A388="","",$M388-$T388-$S388-$U388-$G388)</f>
        <v/>
      </c>
      <c r="W388" s="31">
        <f>IF($A388="","",IF($M388-$T388&gt;0,$V388/($M388-$T388),""))</f>
        <v/>
      </c>
      <c r="X388" s="35">
        <f>IF($A388="","",DATE(YEAR($A388),MONTH($A388),1))</f>
        <v/>
      </c>
    </row>
    <row r="389">
      <c r="A389" s="18" t="n"/>
      <c r="B389" s="13" t="n"/>
      <c r="C389" s="13" t="n"/>
      <c r="D389" s="26" t="n"/>
      <c r="E389" s="12" t="n"/>
      <c r="F389" s="12" t="n"/>
      <c r="G389" s="12" t="n"/>
      <c r="H389" s="12" t="n"/>
      <c r="I389" s="13" t="n"/>
      <c r="J389" s="13" t="n"/>
      <c r="K389" s="12" t="n"/>
      <c r="L389" s="13" t="n"/>
      <c r="M389" s="15">
        <f>IF($A389="","",IF($D389="",1,$D389)*$E389+$F389-$H389)</f>
        <v/>
      </c>
      <c r="N389" s="15">
        <f>IF($A389="","",IF($B389="Etsy",IF($D389="",1,$D389)*Settings!$C$19,0))</f>
        <v/>
      </c>
      <c r="O389" s="15">
        <f>IF($A389="","",IF($B389="Etsy",Settings!$C$20*($M389+IF(Settings!$C$54="Y",0,$H389)),0))</f>
        <v/>
      </c>
      <c r="P389" s="15">
        <f>IF($A389="","",IF($B389="Etsy",Settings!$C$21*$M389*(1+Settings!$C$55)+Settings!$C$22,IF($B389="Shopify",Settings!$C$14*$M389+Settings!$C$15,0)))</f>
        <v/>
      </c>
      <c r="Q389" s="15">
        <f>IF($A389="","",IF(AND($B389="Etsy",$I389="Y"),MIN(Settings!$C$12*($M389+IF(Settings!$C$54="Y",0,$H389)),Settings!$C$25),0))</f>
        <v/>
      </c>
      <c r="R389" s="15">
        <f>IF($A389="","",IF(AND($B389="Etsy",$J389="Y",$L389="Y",$M389&gt;0),($O389+Settings!$C$21*$M389*(1+Settings!$C$55)+IF(Settings!$C$59="Y",$Q389,0))*$T389/$M389+IF(AND(Settings!$C$58="Y",$T389&gt;=$M389),Settings!$C$22,0),0))</f>
        <v/>
      </c>
      <c r="S389" s="15">
        <f>IF($A389="","",$N389+$O389+$P389+$Q389-$R389)</f>
        <v/>
      </c>
      <c r="T389" s="15">
        <f>IF($A389="","",IF($J389="Y",IF($K389="",$M389,MIN($K389,$M389)),0))</f>
        <v/>
      </c>
      <c r="U389" s="15">
        <f>IF($A389="","",IF($D389="",1,$D389)*IFERROR(INDEX(Products!$F$5:$F$54,MATCH($C389,Products!$A$5:$A$54,0)),0))</f>
        <v/>
      </c>
      <c r="V389" s="27">
        <f>IF($A389="","",$M389-$T389-$S389-$U389-$G389)</f>
        <v/>
      </c>
      <c r="W389" s="31">
        <f>IF($A389="","",IF($M389-$T389&gt;0,$V389/($M389-$T389),""))</f>
        <v/>
      </c>
      <c r="X389" s="35">
        <f>IF($A389="","",DATE(YEAR($A389),MONTH($A389),1))</f>
        <v/>
      </c>
    </row>
    <row r="390">
      <c r="A390" s="18" t="n"/>
      <c r="B390" s="13" t="n"/>
      <c r="C390" s="13" t="n"/>
      <c r="D390" s="26" t="n"/>
      <c r="E390" s="12" t="n"/>
      <c r="F390" s="12" t="n"/>
      <c r="G390" s="12" t="n"/>
      <c r="H390" s="12" t="n"/>
      <c r="I390" s="13" t="n"/>
      <c r="J390" s="13" t="n"/>
      <c r="K390" s="12" t="n"/>
      <c r="L390" s="13" t="n"/>
      <c r="M390" s="15">
        <f>IF($A390="","",IF($D390="",1,$D390)*$E390+$F390-$H390)</f>
        <v/>
      </c>
      <c r="N390" s="15">
        <f>IF($A390="","",IF($B390="Etsy",IF($D390="",1,$D390)*Settings!$C$19,0))</f>
        <v/>
      </c>
      <c r="O390" s="15">
        <f>IF($A390="","",IF($B390="Etsy",Settings!$C$20*($M390+IF(Settings!$C$54="Y",0,$H390)),0))</f>
        <v/>
      </c>
      <c r="P390" s="15">
        <f>IF($A390="","",IF($B390="Etsy",Settings!$C$21*$M390*(1+Settings!$C$55)+Settings!$C$22,IF($B390="Shopify",Settings!$C$14*$M390+Settings!$C$15,0)))</f>
        <v/>
      </c>
      <c r="Q390" s="15">
        <f>IF($A390="","",IF(AND($B390="Etsy",$I390="Y"),MIN(Settings!$C$12*($M390+IF(Settings!$C$54="Y",0,$H390)),Settings!$C$25),0))</f>
        <v/>
      </c>
      <c r="R390" s="15">
        <f>IF($A390="","",IF(AND($B390="Etsy",$J390="Y",$L390="Y",$M390&gt;0),($O390+Settings!$C$21*$M390*(1+Settings!$C$55)+IF(Settings!$C$59="Y",$Q390,0))*$T390/$M390+IF(AND(Settings!$C$58="Y",$T390&gt;=$M390),Settings!$C$22,0),0))</f>
        <v/>
      </c>
      <c r="S390" s="15">
        <f>IF($A390="","",$N390+$O390+$P390+$Q390-$R390)</f>
        <v/>
      </c>
      <c r="T390" s="15">
        <f>IF($A390="","",IF($J390="Y",IF($K390="",$M390,MIN($K390,$M390)),0))</f>
        <v/>
      </c>
      <c r="U390" s="15">
        <f>IF($A390="","",IF($D390="",1,$D390)*IFERROR(INDEX(Products!$F$5:$F$54,MATCH($C390,Products!$A$5:$A$54,0)),0))</f>
        <v/>
      </c>
      <c r="V390" s="27">
        <f>IF($A390="","",$M390-$T390-$S390-$U390-$G390)</f>
        <v/>
      </c>
      <c r="W390" s="31">
        <f>IF($A390="","",IF($M390-$T390&gt;0,$V390/($M390-$T390),""))</f>
        <v/>
      </c>
      <c r="X390" s="35">
        <f>IF($A390="","",DATE(YEAR($A390),MONTH($A390),1))</f>
        <v/>
      </c>
    </row>
    <row r="391">
      <c r="A391" s="18" t="n"/>
      <c r="B391" s="13" t="n"/>
      <c r="C391" s="13" t="n"/>
      <c r="D391" s="26" t="n"/>
      <c r="E391" s="12" t="n"/>
      <c r="F391" s="12" t="n"/>
      <c r="G391" s="12" t="n"/>
      <c r="H391" s="12" t="n"/>
      <c r="I391" s="13" t="n"/>
      <c r="J391" s="13" t="n"/>
      <c r="K391" s="12" t="n"/>
      <c r="L391" s="13" t="n"/>
      <c r="M391" s="15">
        <f>IF($A391="","",IF($D391="",1,$D391)*$E391+$F391-$H391)</f>
        <v/>
      </c>
      <c r="N391" s="15">
        <f>IF($A391="","",IF($B391="Etsy",IF($D391="",1,$D391)*Settings!$C$19,0))</f>
        <v/>
      </c>
      <c r="O391" s="15">
        <f>IF($A391="","",IF($B391="Etsy",Settings!$C$20*($M391+IF(Settings!$C$54="Y",0,$H391)),0))</f>
        <v/>
      </c>
      <c r="P391" s="15">
        <f>IF($A391="","",IF($B391="Etsy",Settings!$C$21*$M391*(1+Settings!$C$55)+Settings!$C$22,IF($B391="Shopify",Settings!$C$14*$M391+Settings!$C$15,0)))</f>
        <v/>
      </c>
      <c r="Q391" s="15">
        <f>IF($A391="","",IF(AND($B391="Etsy",$I391="Y"),MIN(Settings!$C$12*($M391+IF(Settings!$C$54="Y",0,$H391)),Settings!$C$25),0))</f>
        <v/>
      </c>
      <c r="R391" s="15">
        <f>IF($A391="","",IF(AND($B391="Etsy",$J391="Y",$L391="Y",$M391&gt;0),($O391+Settings!$C$21*$M391*(1+Settings!$C$55)+IF(Settings!$C$59="Y",$Q391,0))*$T391/$M391+IF(AND(Settings!$C$58="Y",$T391&gt;=$M391),Settings!$C$22,0),0))</f>
        <v/>
      </c>
      <c r="S391" s="15">
        <f>IF($A391="","",$N391+$O391+$P391+$Q391-$R391)</f>
        <v/>
      </c>
      <c r="T391" s="15">
        <f>IF($A391="","",IF($J391="Y",IF($K391="",$M391,MIN($K391,$M391)),0))</f>
        <v/>
      </c>
      <c r="U391" s="15">
        <f>IF($A391="","",IF($D391="",1,$D391)*IFERROR(INDEX(Products!$F$5:$F$54,MATCH($C391,Products!$A$5:$A$54,0)),0))</f>
        <v/>
      </c>
      <c r="V391" s="27">
        <f>IF($A391="","",$M391-$T391-$S391-$U391-$G391)</f>
        <v/>
      </c>
      <c r="W391" s="31">
        <f>IF($A391="","",IF($M391-$T391&gt;0,$V391/($M391-$T391),""))</f>
        <v/>
      </c>
      <c r="X391" s="35">
        <f>IF($A391="","",DATE(YEAR($A391),MONTH($A391),1))</f>
        <v/>
      </c>
    </row>
    <row r="392">
      <c r="A392" s="18" t="n"/>
      <c r="B392" s="13" t="n"/>
      <c r="C392" s="13" t="n"/>
      <c r="D392" s="26" t="n"/>
      <c r="E392" s="12" t="n"/>
      <c r="F392" s="12" t="n"/>
      <c r="G392" s="12" t="n"/>
      <c r="H392" s="12" t="n"/>
      <c r="I392" s="13" t="n"/>
      <c r="J392" s="13" t="n"/>
      <c r="K392" s="12" t="n"/>
      <c r="L392" s="13" t="n"/>
      <c r="M392" s="15">
        <f>IF($A392="","",IF($D392="",1,$D392)*$E392+$F392-$H392)</f>
        <v/>
      </c>
      <c r="N392" s="15">
        <f>IF($A392="","",IF($B392="Etsy",IF($D392="",1,$D392)*Settings!$C$19,0))</f>
        <v/>
      </c>
      <c r="O392" s="15">
        <f>IF($A392="","",IF($B392="Etsy",Settings!$C$20*($M392+IF(Settings!$C$54="Y",0,$H392)),0))</f>
        <v/>
      </c>
      <c r="P392" s="15">
        <f>IF($A392="","",IF($B392="Etsy",Settings!$C$21*$M392*(1+Settings!$C$55)+Settings!$C$22,IF($B392="Shopify",Settings!$C$14*$M392+Settings!$C$15,0)))</f>
        <v/>
      </c>
      <c r="Q392" s="15">
        <f>IF($A392="","",IF(AND($B392="Etsy",$I392="Y"),MIN(Settings!$C$12*($M392+IF(Settings!$C$54="Y",0,$H392)),Settings!$C$25),0))</f>
        <v/>
      </c>
      <c r="R392" s="15">
        <f>IF($A392="","",IF(AND($B392="Etsy",$J392="Y",$L392="Y",$M392&gt;0),($O392+Settings!$C$21*$M392*(1+Settings!$C$55)+IF(Settings!$C$59="Y",$Q392,0))*$T392/$M392+IF(AND(Settings!$C$58="Y",$T392&gt;=$M392),Settings!$C$22,0),0))</f>
        <v/>
      </c>
      <c r="S392" s="15">
        <f>IF($A392="","",$N392+$O392+$P392+$Q392-$R392)</f>
        <v/>
      </c>
      <c r="T392" s="15">
        <f>IF($A392="","",IF($J392="Y",IF($K392="",$M392,MIN($K392,$M392)),0))</f>
        <v/>
      </c>
      <c r="U392" s="15">
        <f>IF($A392="","",IF($D392="",1,$D392)*IFERROR(INDEX(Products!$F$5:$F$54,MATCH($C392,Products!$A$5:$A$54,0)),0))</f>
        <v/>
      </c>
      <c r="V392" s="27">
        <f>IF($A392="","",$M392-$T392-$S392-$U392-$G392)</f>
        <v/>
      </c>
      <c r="W392" s="31">
        <f>IF($A392="","",IF($M392-$T392&gt;0,$V392/($M392-$T392),""))</f>
        <v/>
      </c>
      <c r="X392" s="35">
        <f>IF($A392="","",DATE(YEAR($A392),MONTH($A392),1))</f>
        <v/>
      </c>
    </row>
    <row r="393">
      <c r="A393" s="18" t="n"/>
      <c r="B393" s="13" t="n"/>
      <c r="C393" s="13" t="n"/>
      <c r="D393" s="26" t="n"/>
      <c r="E393" s="12" t="n"/>
      <c r="F393" s="12" t="n"/>
      <c r="G393" s="12" t="n"/>
      <c r="H393" s="12" t="n"/>
      <c r="I393" s="13" t="n"/>
      <c r="J393" s="13" t="n"/>
      <c r="K393" s="12" t="n"/>
      <c r="L393" s="13" t="n"/>
      <c r="M393" s="15">
        <f>IF($A393="","",IF($D393="",1,$D393)*$E393+$F393-$H393)</f>
        <v/>
      </c>
      <c r="N393" s="15">
        <f>IF($A393="","",IF($B393="Etsy",IF($D393="",1,$D393)*Settings!$C$19,0))</f>
        <v/>
      </c>
      <c r="O393" s="15">
        <f>IF($A393="","",IF($B393="Etsy",Settings!$C$20*($M393+IF(Settings!$C$54="Y",0,$H393)),0))</f>
        <v/>
      </c>
      <c r="P393" s="15">
        <f>IF($A393="","",IF($B393="Etsy",Settings!$C$21*$M393*(1+Settings!$C$55)+Settings!$C$22,IF($B393="Shopify",Settings!$C$14*$M393+Settings!$C$15,0)))</f>
        <v/>
      </c>
      <c r="Q393" s="15">
        <f>IF($A393="","",IF(AND($B393="Etsy",$I393="Y"),MIN(Settings!$C$12*($M393+IF(Settings!$C$54="Y",0,$H393)),Settings!$C$25),0))</f>
        <v/>
      </c>
      <c r="R393" s="15">
        <f>IF($A393="","",IF(AND($B393="Etsy",$J393="Y",$L393="Y",$M393&gt;0),($O393+Settings!$C$21*$M393*(1+Settings!$C$55)+IF(Settings!$C$59="Y",$Q393,0))*$T393/$M393+IF(AND(Settings!$C$58="Y",$T393&gt;=$M393),Settings!$C$22,0),0))</f>
        <v/>
      </c>
      <c r="S393" s="15">
        <f>IF($A393="","",$N393+$O393+$P393+$Q393-$R393)</f>
        <v/>
      </c>
      <c r="T393" s="15">
        <f>IF($A393="","",IF($J393="Y",IF($K393="",$M393,MIN($K393,$M393)),0))</f>
        <v/>
      </c>
      <c r="U393" s="15">
        <f>IF($A393="","",IF($D393="",1,$D393)*IFERROR(INDEX(Products!$F$5:$F$54,MATCH($C393,Products!$A$5:$A$54,0)),0))</f>
        <v/>
      </c>
      <c r="V393" s="27">
        <f>IF($A393="","",$M393-$T393-$S393-$U393-$G393)</f>
        <v/>
      </c>
      <c r="W393" s="31">
        <f>IF($A393="","",IF($M393-$T393&gt;0,$V393/($M393-$T393),""))</f>
        <v/>
      </c>
      <c r="X393" s="35">
        <f>IF($A393="","",DATE(YEAR($A393),MONTH($A393),1))</f>
        <v/>
      </c>
    </row>
    <row r="394">
      <c r="A394" s="18" t="n"/>
      <c r="B394" s="13" t="n"/>
      <c r="C394" s="13" t="n"/>
      <c r="D394" s="26" t="n"/>
      <c r="E394" s="12" t="n"/>
      <c r="F394" s="12" t="n"/>
      <c r="G394" s="12" t="n"/>
      <c r="H394" s="12" t="n"/>
      <c r="I394" s="13" t="n"/>
      <c r="J394" s="13" t="n"/>
      <c r="K394" s="12" t="n"/>
      <c r="L394" s="13" t="n"/>
      <c r="M394" s="15">
        <f>IF($A394="","",IF($D394="",1,$D394)*$E394+$F394-$H394)</f>
        <v/>
      </c>
      <c r="N394" s="15">
        <f>IF($A394="","",IF($B394="Etsy",IF($D394="",1,$D394)*Settings!$C$19,0))</f>
        <v/>
      </c>
      <c r="O394" s="15">
        <f>IF($A394="","",IF($B394="Etsy",Settings!$C$20*($M394+IF(Settings!$C$54="Y",0,$H394)),0))</f>
        <v/>
      </c>
      <c r="P394" s="15">
        <f>IF($A394="","",IF($B394="Etsy",Settings!$C$21*$M394*(1+Settings!$C$55)+Settings!$C$22,IF($B394="Shopify",Settings!$C$14*$M394+Settings!$C$15,0)))</f>
        <v/>
      </c>
      <c r="Q394" s="15">
        <f>IF($A394="","",IF(AND($B394="Etsy",$I394="Y"),MIN(Settings!$C$12*($M394+IF(Settings!$C$54="Y",0,$H394)),Settings!$C$25),0))</f>
        <v/>
      </c>
      <c r="R394" s="15">
        <f>IF($A394="","",IF(AND($B394="Etsy",$J394="Y",$L394="Y",$M394&gt;0),($O394+Settings!$C$21*$M394*(1+Settings!$C$55)+IF(Settings!$C$59="Y",$Q394,0))*$T394/$M394+IF(AND(Settings!$C$58="Y",$T394&gt;=$M394),Settings!$C$22,0),0))</f>
        <v/>
      </c>
      <c r="S394" s="15">
        <f>IF($A394="","",$N394+$O394+$P394+$Q394-$R394)</f>
        <v/>
      </c>
      <c r="T394" s="15">
        <f>IF($A394="","",IF($J394="Y",IF($K394="",$M394,MIN($K394,$M394)),0))</f>
        <v/>
      </c>
      <c r="U394" s="15">
        <f>IF($A394="","",IF($D394="",1,$D394)*IFERROR(INDEX(Products!$F$5:$F$54,MATCH($C394,Products!$A$5:$A$54,0)),0))</f>
        <v/>
      </c>
      <c r="V394" s="27">
        <f>IF($A394="","",$M394-$T394-$S394-$U394-$G394)</f>
        <v/>
      </c>
      <c r="W394" s="31">
        <f>IF($A394="","",IF($M394-$T394&gt;0,$V394/($M394-$T394),""))</f>
        <v/>
      </c>
      <c r="X394" s="35">
        <f>IF($A394="","",DATE(YEAR($A394),MONTH($A394),1))</f>
        <v/>
      </c>
    </row>
    <row r="395">
      <c r="A395" s="18" t="n"/>
      <c r="B395" s="13" t="n"/>
      <c r="C395" s="13" t="n"/>
      <c r="D395" s="26" t="n"/>
      <c r="E395" s="12" t="n"/>
      <c r="F395" s="12" t="n"/>
      <c r="G395" s="12" t="n"/>
      <c r="H395" s="12" t="n"/>
      <c r="I395" s="13" t="n"/>
      <c r="J395" s="13" t="n"/>
      <c r="K395" s="12" t="n"/>
      <c r="L395" s="13" t="n"/>
      <c r="M395" s="15">
        <f>IF($A395="","",IF($D395="",1,$D395)*$E395+$F395-$H395)</f>
        <v/>
      </c>
      <c r="N395" s="15">
        <f>IF($A395="","",IF($B395="Etsy",IF($D395="",1,$D395)*Settings!$C$19,0))</f>
        <v/>
      </c>
      <c r="O395" s="15">
        <f>IF($A395="","",IF($B395="Etsy",Settings!$C$20*($M395+IF(Settings!$C$54="Y",0,$H395)),0))</f>
        <v/>
      </c>
      <c r="P395" s="15">
        <f>IF($A395="","",IF($B395="Etsy",Settings!$C$21*$M395*(1+Settings!$C$55)+Settings!$C$22,IF($B395="Shopify",Settings!$C$14*$M395+Settings!$C$15,0)))</f>
        <v/>
      </c>
      <c r="Q395" s="15">
        <f>IF($A395="","",IF(AND($B395="Etsy",$I395="Y"),MIN(Settings!$C$12*($M395+IF(Settings!$C$54="Y",0,$H395)),Settings!$C$25),0))</f>
        <v/>
      </c>
      <c r="R395" s="15">
        <f>IF($A395="","",IF(AND($B395="Etsy",$J395="Y",$L395="Y",$M395&gt;0),($O395+Settings!$C$21*$M395*(1+Settings!$C$55)+IF(Settings!$C$59="Y",$Q395,0))*$T395/$M395+IF(AND(Settings!$C$58="Y",$T395&gt;=$M395),Settings!$C$22,0),0))</f>
        <v/>
      </c>
      <c r="S395" s="15">
        <f>IF($A395="","",$N395+$O395+$P395+$Q395-$R395)</f>
        <v/>
      </c>
      <c r="T395" s="15">
        <f>IF($A395="","",IF($J395="Y",IF($K395="",$M395,MIN($K395,$M395)),0))</f>
        <v/>
      </c>
      <c r="U395" s="15">
        <f>IF($A395="","",IF($D395="",1,$D395)*IFERROR(INDEX(Products!$F$5:$F$54,MATCH($C395,Products!$A$5:$A$54,0)),0))</f>
        <v/>
      </c>
      <c r="V395" s="27">
        <f>IF($A395="","",$M395-$T395-$S395-$U395-$G395)</f>
        <v/>
      </c>
      <c r="W395" s="31">
        <f>IF($A395="","",IF($M395-$T395&gt;0,$V395/($M395-$T395),""))</f>
        <v/>
      </c>
      <c r="X395" s="35">
        <f>IF($A395="","",DATE(YEAR($A395),MONTH($A395),1))</f>
        <v/>
      </c>
    </row>
    <row r="396">
      <c r="A396" s="18" t="n"/>
      <c r="B396" s="13" t="n"/>
      <c r="C396" s="13" t="n"/>
      <c r="D396" s="26" t="n"/>
      <c r="E396" s="12" t="n"/>
      <c r="F396" s="12" t="n"/>
      <c r="G396" s="12" t="n"/>
      <c r="H396" s="12" t="n"/>
      <c r="I396" s="13" t="n"/>
      <c r="J396" s="13" t="n"/>
      <c r="K396" s="12" t="n"/>
      <c r="L396" s="13" t="n"/>
      <c r="M396" s="15">
        <f>IF($A396="","",IF($D396="",1,$D396)*$E396+$F396-$H396)</f>
        <v/>
      </c>
      <c r="N396" s="15">
        <f>IF($A396="","",IF($B396="Etsy",IF($D396="",1,$D396)*Settings!$C$19,0))</f>
        <v/>
      </c>
      <c r="O396" s="15">
        <f>IF($A396="","",IF($B396="Etsy",Settings!$C$20*($M396+IF(Settings!$C$54="Y",0,$H396)),0))</f>
        <v/>
      </c>
      <c r="P396" s="15">
        <f>IF($A396="","",IF($B396="Etsy",Settings!$C$21*$M396*(1+Settings!$C$55)+Settings!$C$22,IF($B396="Shopify",Settings!$C$14*$M396+Settings!$C$15,0)))</f>
        <v/>
      </c>
      <c r="Q396" s="15">
        <f>IF($A396="","",IF(AND($B396="Etsy",$I396="Y"),MIN(Settings!$C$12*($M396+IF(Settings!$C$54="Y",0,$H396)),Settings!$C$25),0))</f>
        <v/>
      </c>
      <c r="R396" s="15">
        <f>IF($A396="","",IF(AND($B396="Etsy",$J396="Y",$L396="Y",$M396&gt;0),($O396+Settings!$C$21*$M396*(1+Settings!$C$55)+IF(Settings!$C$59="Y",$Q396,0))*$T396/$M396+IF(AND(Settings!$C$58="Y",$T396&gt;=$M396),Settings!$C$22,0),0))</f>
        <v/>
      </c>
      <c r="S396" s="15">
        <f>IF($A396="","",$N396+$O396+$P396+$Q396-$R396)</f>
        <v/>
      </c>
      <c r="T396" s="15">
        <f>IF($A396="","",IF($J396="Y",IF($K396="",$M396,MIN($K396,$M396)),0))</f>
        <v/>
      </c>
      <c r="U396" s="15">
        <f>IF($A396="","",IF($D396="",1,$D396)*IFERROR(INDEX(Products!$F$5:$F$54,MATCH($C396,Products!$A$5:$A$54,0)),0))</f>
        <v/>
      </c>
      <c r="V396" s="27">
        <f>IF($A396="","",$M396-$T396-$S396-$U396-$G396)</f>
        <v/>
      </c>
      <c r="W396" s="31">
        <f>IF($A396="","",IF($M396-$T396&gt;0,$V396/($M396-$T396),""))</f>
        <v/>
      </c>
      <c r="X396" s="35">
        <f>IF($A396="","",DATE(YEAR($A396),MONTH($A396),1))</f>
        <v/>
      </c>
    </row>
    <row r="397">
      <c r="A397" s="18" t="n"/>
      <c r="B397" s="13" t="n"/>
      <c r="C397" s="13" t="n"/>
      <c r="D397" s="26" t="n"/>
      <c r="E397" s="12" t="n"/>
      <c r="F397" s="12" t="n"/>
      <c r="G397" s="12" t="n"/>
      <c r="H397" s="12" t="n"/>
      <c r="I397" s="13" t="n"/>
      <c r="J397" s="13" t="n"/>
      <c r="K397" s="12" t="n"/>
      <c r="L397" s="13" t="n"/>
      <c r="M397" s="15">
        <f>IF($A397="","",IF($D397="",1,$D397)*$E397+$F397-$H397)</f>
        <v/>
      </c>
      <c r="N397" s="15">
        <f>IF($A397="","",IF($B397="Etsy",IF($D397="",1,$D397)*Settings!$C$19,0))</f>
        <v/>
      </c>
      <c r="O397" s="15">
        <f>IF($A397="","",IF($B397="Etsy",Settings!$C$20*($M397+IF(Settings!$C$54="Y",0,$H397)),0))</f>
        <v/>
      </c>
      <c r="P397" s="15">
        <f>IF($A397="","",IF($B397="Etsy",Settings!$C$21*$M397*(1+Settings!$C$55)+Settings!$C$22,IF($B397="Shopify",Settings!$C$14*$M397+Settings!$C$15,0)))</f>
        <v/>
      </c>
      <c r="Q397" s="15">
        <f>IF($A397="","",IF(AND($B397="Etsy",$I397="Y"),MIN(Settings!$C$12*($M397+IF(Settings!$C$54="Y",0,$H397)),Settings!$C$25),0))</f>
        <v/>
      </c>
      <c r="R397" s="15">
        <f>IF($A397="","",IF(AND($B397="Etsy",$J397="Y",$L397="Y",$M397&gt;0),($O397+Settings!$C$21*$M397*(1+Settings!$C$55)+IF(Settings!$C$59="Y",$Q397,0))*$T397/$M397+IF(AND(Settings!$C$58="Y",$T397&gt;=$M397),Settings!$C$22,0),0))</f>
        <v/>
      </c>
      <c r="S397" s="15">
        <f>IF($A397="","",$N397+$O397+$P397+$Q397-$R397)</f>
        <v/>
      </c>
      <c r="T397" s="15">
        <f>IF($A397="","",IF($J397="Y",IF($K397="",$M397,MIN($K397,$M397)),0))</f>
        <v/>
      </c>
      <c r="U397" s="15">
        <f>IF($A397="","",IF($D397="",1,$D397)*IFERROR(INDEX(Products!$F$5:$F$54,MATCH($C397,Products!$A$5:$A$54,0)),0))</f>
        <v/>
      </c>
      <c r="V397" s="27">
        <f>IF($A397="","",$M397-$T397-$S397-$U397-$G397)</f>
        <v/>
      </c>
      <c r="W397" s="31">
        <f>IF($A397="","",IF($M397-$T397&gt;0,$V397/($M397-$T397),""))</f>
        <v/>
      </c>
      <c r="X397" s="35">
        <f>IF($A397="","",DATE(YEAR($A397),MONTH($A397),1))</f>
        <v/>
      </c>
    </row>
    <row r="398">
      <c r="A398" s="18" t="n"/>
      <c r="B398" s="13" t="n"/>
      <c r="C398" s="13" t="n"/>
      <c r="D398" s="26" t="n"/>
      <c r="E398" s="12" t="n"/>
      <c r="F398" s="12" t="n"/>
      <c r="G398" s="12" t="n"/>
      <c r="H398" s="12" t="n"/>
      <c r="I398" s="13" t="n"/>
      <c r="J398" s="13" t="n"/>
      <c r="K398" s="12" t="n"/>
      <c r="L398" s="13" t="n"/>
      <c r="M398" s="15">
        <f>IF($A398="","",IF($D398="",1,$D398)*$E398+$F398-$H398)</f>
        <v/>
      </c>
      <c r="N398" s="15">
        <f>IF($A398="","",IF($B398="Etsy",IF($D398="",1,$D398)*Settings!$C$19,0))</f>
        <v/>
      </c>
      <c r="O398" s="15">
        <f>IF($A398="","",IF($B398="Etsy",Settings!$C$20*($M398+IF(Settings!$C$54="Y",0,$H398)),0))</f>
        <v/>
      </c>
      <c r="P398" s="15">
        <f>IF($A398="","",IF($B398="Etsy",Settings!$C$21*$M398*(1+Settings!$C$55)+Settings!$C$22,IF($B398="Shopify",Settings!$C$14*$M398+Settings!$C$15,0)))</f>
        <v/>
      </c>
      <c r="Q398" s="15">
        <f>IF($A398="","",IF(AND($B398="Etsy",$I398="Y"),MIN(Settings!$C$12*($M398+IF(Settings!$C$54="Y",0,$H398)),Settings!$C$25),0))</f>
        <v/>
      </c>
      <c r="R398" s="15">
        <f>IF($A398="","",IF(AND($B398="Etsy",$J398="Y",$L398="Y",$M398&gt;0),($O398+Settings!$C$21*$M398*(1+Settings!$C$55)+IF(Settings!$C$59="Y",$Q398,0))*$T398/$M398+IF(AND(Settings!$C$58="Y",$T398&gt;=$M398),Settings!$C$22,0),0))</f>
        <v/>
      </c>
      <c r="S398" s="15">
        <f>IF($A398="","",$N398+$O398+$P398+$Q398-$R398)</f>
        <v/>
      </c>
      <c r="T398" s="15">
        <f>IF($A398="","",IF($J398="Y",IF($K398="",$M398,MIN($K398,$M398)),0))</f>
        <v/>
      </c>
      <c r="U398" s="15">
        <f>IF($A398="","",IF($D398="",1,$D398)*IFERROR(INDEX(Products!$F$5:$F$54,MATCH($C398,Products!$A$5:$A$54,0)),0))</f>
        <v/>
      </c>
      <c r="V398" s="27">
        <f>IF($A398="","",$M398-$T398-$S398-$U398-$G398)</f>
        <v/>
      </c>
      <c r="W398" s="31">
        <f>IF($A398="","",IF($M398-$T398&gt;0,$V398/($M398-$T398),""))</f>
        <v/>
      </c>
      <c r="X398" s="35">
        <f>IF($A398="","",DATE(YEAR($A398),MONTH($A398),1))</f>
        <v/>
      </c>
    </row>
    <row r="399">
      <c r="A399" s="18" t="n"/>
      <c r="B399" s="13" t="n"/>
      <c r="C399" s="13" t="n"/>
      <c r="D399" s="26" t="n"/>
      <c r="E399" s="12" t="n"/>
      <c r="F399" s="12" t="n"/>
      <c r="G399" s="12" t="n"/>
      <c r="H399" s="12" t="n"/>
      <c r="I399" s="13" t="n"/>
      <c r="J399" s="13" t="n"/>
      <c r="K399" s="12" t="n"/>
      <c r="L399" s="13" t="n"/>
      <c r="M399" s="15">
        <f>IF($A399="","",IF($D399="",1,$D399)*$E399+$F399-$H399)</f>
        <v/>
      </c>
      <c r="N399" s="15">
        <f>IF($A399="","",IF($B399="Etsy",IF($D399="",1,$D399)*Settings!$C$19,0))</f>
        <v/>
      </c>
      <c r="O399" s="15">
        <f>IF($A399="","",IF($B399="Etsy",Settings!$C$20*($M399+IF(Settings!$C$54="Y",0,$H399)),0))</f>
        <v/>
      </c>
      <c r="P399" s="15">
        <f>IF($A399="","",IF($B399="Etsy",Settings!$C$21*$M399*(1+Settings!$C$55)+Settings!$C$22,IF($B399="Shopify",Settings!$C$14*$M399+Settings!$C$15,0)))</f>
        <v/>
      </c>
      <c r="Q399" s="15">
        <f>IF($A399="","",IF(AND($B399="Etsy",$I399="Y"),MIN(Settings!$C$12*($M399+IF(Settings!$C$54="Y",0,$H399)),Settings!$C$25),0))</f>
        <v/>
      </c>
      <c r="R399" s="15">
        <f>IF($A399="","",IF(AND($B399="Etsy",$J399="Y",$L399="Y",$M399&gt;0),($O399+Settings!$C$21*$M399*(1+Settings!$C$55)+IF(Settings!$C$59="Y",$Q399,0))*$T399/$M399+IF(AND(Settings!$C$58="Y",$T399&gt;=$M399),Settings!$C$22,0),0))</f>
        <v/>
      </c>
      <c r="S399" s="15">
        <f>IF($A399="","",$N399+$O399+$P399+$Q399-$R399)</f>
        <v/>
      </c>
      <c r="T399" s="15">
        <f>IF($A399="","",IF($J399="Y",IF($K399="",$M399,MIN($K399,$M399)),0))</f>
        <v/>
      </c>
      <c r="U399" s="15">
        <f>IF($A399="","",IF($D399="",1,$D399)*IFERROR(INDEX(Products!$F$5:$F$54,MATCH($C399,Products!$A$5:$A$54,0)),0))</f>
        <v/>
      </c>
      <c r="V399" s="27">
        <f>IF($A399="","",$M399-$T399-$S399-$U399-$G399)</f>
        <v/>
      </c>
      <c r="W399" s="31">
        <f>IF($A399="","",IF($M399-$T399&gt;0,$V399/($M399-$T399),""))</f>
        <v/>
      </c>
      <c r="X399" s="35">
        <f>IF($A399="","",DATE(YEAR($A399),MONTH($A399),1))</f>
        <v/>
      </c>
    </row>
    <row r="400">
      <c r="A400" s="18" t="n"/>
      <c r="B400" s="13" t="n"/>
      <c r="C400" s="13" t="n"/>
      <c r="D400" s="26" t="n"/>
      <c r="E400" s="12" t="n"/>
      <c r="F400" s="12" t="n"/>
      <c r="G400" s="12" t="n"/>
      <c r="H400" s="12" t="n"/>
      <c r="I400" s="13" t="n"/>
      <c r="J400" s="13" t="n"/>
      <c r="K400" s="12" t="n"/>
      <c r="L400" s="13" t="n"/>
      <c r="M400" s="15">
        <f>IF($A400="","",IF($D400="",1,$D400)*$E400+$F400-$H400)</f>
        <v/>
      </c>
      <c r="N400" s="15">
        <f>IF($A400="","",IF($B400="Etsy",IF($D400="",1,$D400)*Settings!$C$19,0))</f>
        <v/>
      </c>
      <c r="O400" s="15">
        <f>IF($A400="","",IF($B400="Etsy",Settings!$C$20*($M400+IF(Settings!$C$54="Y",0,$H400)),0))</f>
        <v/>
      </c>
      <c r="P400" s="15">
        <f>IF($A400="","",IF($B400="Etsy",Settings!$C$21*$M400*(1+Settings!$C$55)+Settings!$C$22,IF($B400="Shopify",Settings!$C$14*$M400+Settings!$C$15,0)))</f>
        <v/>
      </c>
      <c r="Q400" s="15">
        <f>IF($A400="","",IF(AND($B400="Etsy",$I400="Y"),MIN(Settings!$C$12*($M400+IF(Settings!$C$54="Y",0,$H400)),Settings!$C$25),0))</f>
        <v/>
      </c>
      <c r="R400" s="15">
        <f>IF($A400="","",IF(AND($B400="Etsy",$J400="Y",$L400="Y",$M400&gt;0),($O400+Settings!$C$21*$M400*(1+Settings!$C$55)+IF(Settings!$C$59="Y",$Q400,0))*$T400/$M400+IF(AND(Settings!$C$58="Y",$T400&gt;=$M400),Settings!$C$22,0),0))</f>
        <v/>
      </c>
      <c r="S400" s="15">
        <f>IF($A400="","",$N400+$O400+$P400+$Q400-$R400)</f>
        <v/>
      </c>
      <c r="T400" s="15">
        <f>IF($A400="","",IF($J400="Y",IF($K400="",$M400,MIN($K400,$M400)),0))</f>
        <v/>
      </c>
      <c r="U400" s="15">
        <f>IF($A400="","",IF($D400="",1,$D400)*IFERROR(INDEX(Products!$F$5:$F$54,MATCH($C400,Products!$A$5:$A$54,0)),0))</f>
        <v/>
      </c>
      <c r="V400" s="27">
        <f>IF($A400="","",$M400-$T400-$S400-$U400-$G400)</f>
        <v/>
      </c>
      <c r="W400" s="31">
        <f>IF($A400="","",IF($M400-$T400&gt;0,$V400/($M400-$T400),""))</f>
        <v/>
      </c>
      <c r="X400" s="35">
        <f>IF($A400="","",DATE(YEAR($A400),MONTH($A400),1))</f>
        <v/>
      </c>
    </row>
    <row r="401">
      <c r="A401" s="18" t="n"/>
      <c r="B401" s="13" t="n"/>
      <c r="C401" s="13" t="n"/>
      <c r="D401" s="26" t="n"/>
      <c r="E401" s="12" t="n"/>
      <c r="F401" s="12" t="n"/>
      <c r="G401" s="12" t="n"/>
      <c r="H401" s="12" t="n"/>
      <c r="I401" s="13" t="n"/>
      <c r="J401" s="13" t="n"/>
      <c r="K401" s="12" t="n"/>
      <c r="L401" s="13" t="n"/>
      <c r="M401" s="15">
        <f>IF($A401="","",IF($D401="",1,$D401)*$E401+$F401-$H401)</f>
        <v/>
      </c>
      <c r="N401" s="15">
        <f>IF($A401="","",IF($B401="Etsy",IF($D401="",1,$D401)*Settings!$C$19,0))</f>
        <v/>
      </c>
      <c r="O401" s="15">
        <f>IF($A401="","",IF($B401="Etsy",Settings!$C$20*($M401+IF(Settings!$C$54="Y",0,$H401)),0))</f>
        <v/>
      </c>
      <c r="P401" s="15">
        <f>IF($A401="","",IF($B401="Etsy",Settings!$C$21*$M401*(1+Settings!$C$55)+Settings!$C$22,IF($B401="Shopify",Settings!$C$14*$M401+Settings!$C$15,0)))</f>
        <v/>
      </c>
      <c r="Q401" s="15">
        <f>IF($A401="","",IF(AND($B401="Etsy",$I401="Y"),MIN(Settings!$C$12*($M401+IF(Settings!$C$54="Y",0,$H401)),Settings!$C$25),0))</f>
        <v/>
      </c>
      <c r="R401" s="15">
        <f>IF($A401="","",IF(AND($B401="Etsy",$J401="Y",$L401="Y",$M401&gt;0),($O401+Settings!$C$21*$M401*(1+Settings!$C$55)+IF(Settings!$C$59="Y",$Q401,0))*$T401/$M401+IF(AND(Settings!$C$58="Y",$T401&gt;=$M401),Settings!$C$22,0),0))</f>
        <v/>
      </c>
      <c r="S401" s="15">
        <f>IF($A401="","",$N401+$O401+$P401+$Q401-$R401)</f>
        <v/>
      </c>
      <c r="T401" s="15">
        <f>IF($A401="","",IF($J401="Y",IF($K401="",$M401,MIN($K401,$M401)),0))</f>
        <v/>
      </c>
      <c r="U401" s="15">
        <f>IF($A401="","",IF($D401="",1,$D401)*IFERROR(INDEX(Products!$F$5:$F$54,MATCH($C401,Products!$A$5:$A$54,0)),0))</f>
        <v/>
      </c>
      <c r="V401" s="27">
        <f>IF($A401="","",$M401-$T401-$S401-$U401-$G401)</f>
        <v/>
      </c>
      <c r="W401" s="31">
        <f>IF($A401="","",IF($M401-$T401&gt;0,$V401/($M401-$T401),""))</f>
        <v/>
      </c>
      <c r="X401" s="35">
        <f>IF($A401="","",DATE(YEAR($A401),MONTH($A401),1))</f>
        <v/>
      </c>
    </row>
    <row r="402">
      <c r="A402" s="18" t="n"/>
      <c r="B402" s="13" t="n"/>
      <c r="C402" s="13" t="n"/>
      <c r="D402" s="26" t="n"/>
      <c r="E402" s="12" t="n"/>
      <c r="F402" s="12" t="n"/>
      <c r="G402" s="12" t="n"/>
      <c r="H402" s="12" t="n"/>
      <c r="I402" s="13" t="n"/>
      <c r="J402" s="13" t="n"/>
      <c r="K402" s="12" t="n"/>
      <c r="L402" s="13" t="n"/>
      <c r="M402" s="15">
        <f>IF($A402="","",IF($D402="",1,$D402)*$E402+$F402-$H402)</f>
        <v/>
      </c>
      <c r="N402" s="15">
        <f>IF($A402="","",IF($B402="Etsy",IF($D402="",1,$D402)*Settings!$C$19,0))</f>
        <v/>
      </c>
      <c r="O402" s="15">
        <f>IF($A402="","",IF($B402="Etsy",Settings!$C$20*($M402+IF(Settings!$C$54="Y",0,$H402)),0))</f>
        <v/>
      </c>
      <c r="P402" s="15">
        <f>IF($A402="","",IF($B402="Etsy",Settings!$C$21*$M402*(1+Settings!$C$55)+Settings!$C$22,IF($B402="Shopify",Settings!$C$14*$M402+Settings!$C$15,0)))</f>
        <v/>
      </c>
      <c r="Q402" s="15">
        <f>IF($A402="","",IF(AND($B402="Etsy",$I402="Y"),MIN(Settings!$C$12*($M402+IF(Settings!$C$54="Y",0,$H402)),Settings!$C$25),0))</f>
        <v/>
      </c>
      <c r="R402" s="15">
        <f>IF($A402="","",IF(AND($B402="Etsy",$J402="Y",$L402="Y",$M402&gt;0),($O402+Settings!$C$21*$M402*(1+Settings!$C$55)+IF(Settings!$C$59="Y",$Q402,0))*$T402/$M402+IF(AND(Settings!$C$58="Y",$T402&gt;=$M402),Settings!$C$22,0),0))</f>
        <v/>
      </c>
      <c r="S402" s="15">
        <f>IF($A402="","",$N402+$O402+$P402+$Q402-$R402)</f>
        <v/>
      </c>
      <c r="T402" s="15">
        <f>IF($A402="","",IF($J402="Y",IF($K402="",$M402,MIN($K402,$M402)),0))</f>
        <v/>
      </c>
      <c r="U402" s="15">
        <f>IF($A402="","",IF($D402="",1,$D402)*IFERROR(INDEX(Products!$F$5:$F$54,MATCH($C402,Products!$A$5:$A$54,0)),0))</f>
        <v/>
      </c>
      <c r="V402" s="27">
        <f>IF($A402="","",$M402-$T402-$S402-$U402-$G402)</f>
        <v/>
      </c>
      <c r="W402" s="31">
        <f>IF($A402="","",IF($M402-$T402&gt;0,$V402/($M402-$T402),""))</f>
        <v/>
      </c>
      <c r="X402" s="35">
        <f>IF($A402="","",DATE(YEAR($A402),MONTH($A402),1))</f>
        <v/>
      </c>
    </row>
    <row r="403">
      <c r="A403" s="18" t="n"/>
      <c r="B403" s="13" t="n"/>
      <c r="C403" s="13" t="n"/>
      <c r="D403" s="26" t="n"/>
      <c r="E403" s="12" t="n"/>
      <c r="F403" s="12" t="n"/>
      <c r="G403" s="12" t="n"/>
      <c r="H403" s="12" t="n"/>
      <c r="I403" s="13" t="n"/>
      <c r="J403" s="13" t="n"/>
      <c r="K403" s="12" t="n"/>
      <c r="L403" s="13" t="n"/>
      <c r="M403" s="15">
        <f>IF($A403="","",IF($D403="",1,$D403)*$E403+$F403-$H403)</f>
        <v/>
      </c>
      <c r="N403" s="15">
        <f>IF($A403="","",IF($B403="Etsy",IF($D403="",1,$D403)*Settings!$C$19,0))</f>
        <v/>
      </c>
      <c r="O403" s="15">
        <f>IF($A403="","",IF($B403="Etsy",Settings!$C$20*($M403+IF(Settings!$C$54="Y",0,$H403)),0))</f>
        <v/>
      </c>
      <c r="P403" s="15">
        <f>IF($A403="","",IF($B403="Etsy",Settings!$C$21*$M403*(1+Settings!$C$55)+Settings!$C$22,IF($B403="Shopify",Settings!$C$14*$M403+Settings!$C$15,0)))</f>
        <v/>
      </c>
      <c r="Q403" s="15">
        <f>IF($A403="","",IF(AND($B403="Etsy",$I403="Y"),MIN(Settings!$C$12*($M403+IF(Settings!$C$54="Y",0,$H403)),Settings!$C$25),0))</f>
        <v/>
      </c>
      <c r="R403" s="15">
        <f>IF($A403="","",IF(AND($B403="Etsy",$J403="Y",$L403="Y",$M403&gt;0),($O403+Settings!$C$21*$M403*(1+Settings!$C$55)+IF(Settings!$C$59="Y",$Q403,0))*$T403/$M403+IF(AND(Settings!$C$58="Y",$T403&gt;=$M403),Settings!$C$22,0),0))</f>
        <v/>
      </c>
      <c r="S403" s="15">
        <f>IF($A403="","",$N403+$O403+$P403+$Q403-$R403)</f>
        <v/>
      </c>
      <c r="T403" s="15">
        <f>IF($A403="","",IF($J403="Y",IF($K403="",$M403,MIN($K403,$M403)),0))</f>
        <v/>
      </c>
      <c r="U403" s="15">
        <f>IF($A403="","",IF($D403="",1,$D403)*IFERROR(INDEX(Products!$F$5:$F$54,MATCH($C403,Products!$A$5:$A$54,0)),0))</f>
        <v/>
      </c>
      <c r="V403" s="27">
        <f>IF($A403="","",$M403-$T403-$S403-$U403-$G403)</f>
        <v/>
      </c>
      <c r="W403" s="31">
        <f>IF($A403="","",IF($M403-$T403&gt;0,$V403/($M403-$T403),""))</f>
        <v/>
      </c>
      <c r="X403" s="35">
        <f>IF($A403="","",DATE(YEAR($A403),MONTH($A403),1))</f>
        <v/>
      </c>
    </row>
    <row r="404">
      <c r="A404" s="18" t="n"/>
      <c r="B404" s="13" t="n"/>
      <c r="C404" s="13" t="n"/>
      <c r="D404" s="26" t="n"/>
      <c r="E404" s="12" t="n"/>
      <c r="F404" s="12" t="n"/>
      <c r="G404" s="12" t="n"/>
      <c r="H404" s="12" t="n"/>
      <c r="I404" s="13" t="n"/>
      <c r="J404" s="13" t="n"/>
      <c r="K404" s="12" t="n"/>
      <c r="L404" s="13" t="n"/>
      <c r="M404" s="15">
        <f>IF($A404="","",IF($D404="",1,$D404)*$E404+$F404-$H404)</f>
        <v/>
      </c>
      <c r="N404" s="15">
        <f>IF($A404="","",IF($B404="Etsy",IF($D404="",1,$D404)*Settings!$C$19,0))</f>
        <v/>
      </c>
      <c r="O404" s="15">
        <f>IF($A404="","",IF($B404="Etsy",Settings!$C$20*($M404+IF(Settings!$C$54="Y",0,$H404)),0))</f>
        <v/>
      </c>
      <c r="P404" s="15">
        <f>IF($A404="","",IF($B404="Etsy",Settings!$C$21*$M404*(1+Settings!$C$55)+Settings!$C$22,IF($B404="Shopify",Settings!$C$14*$M404+Settings!$C$15,0)))</f>
        <v/>
      </c>
      <c r="Q404" s="15">
        <f>IF($A404="","",IF(AND($B404="Etsy",$I404="Y"),MIN(Settings!$C$12*($M404+IF(Settings!$C$54="Y",0,$H404)),Settings!$C$25),0))</f>
        <v/>
      </c>
      <c r="R404" s="15">
        <f>IF($A404="","",IF(AND($B404="Etsy",$J404="Y",$L404="Y",$M404&gt;0),($O404+Settings!$C$21*$M404*(1+Settings!$C$55)+IF(Settings!$C$59="Y",$Q404,0))*$T404/$M404+IF(AND(Settings!$C$58="Y",$T404&gt;=$M404),Settings!$C$22,0),0))</f>
        <v/>
      </c>
      <c r="S404" s="15">
        <f>IF($A404="","",$N404+$O404+$P404+$Q404-$R404)</f>
        <v/>
      </c>
      <c r="T404" s="15">
        <f>IF($A404="","",IF($J404="Y",IF($K404="",$M404,MIN($K404,$M404)),0))</f>
        <v/>
      </c>
      <c r="U404" s="15">
        <f>IF($A404="","",IF($D404="",1,$D404)*IFERROR(INDEX(Products!$F$5:$F$54,MATCH($C404,Products!$A$5:$A$54,0)),0))</f>
        <v/>
      </c>
      <c r="V404" s="27">
        <f>IF($A404="","",$M404-$T404-$S404-$U404-$G404)</f>
        <v/>
      </c>
      <c r="W404" s="31">
        <f>IF($A404="","",IF($M404-$T404&gt;0,$V404/($M404-$T404),""))</f>
        <v/>
      </c>
      <c r="X404" s="35">
        <f>IF($A404="","",DATE(YEAR($A404),MONTH($A404),1))</f>
        <v/>
      </c>
    </row>
    <row r="405">
      <c r="A405" s="18" t="n"/>
      <c r="B405" s="13" t="n"/>
      <c r="C405" s="13" t="n"/>
      <c r="D405" s="26" t="n"/>
      <c r="E405" s="12" t="n"/>
      <c r="F405" s="12" t="n"/>
      <c r="G405" s="12" t="n"/>
      <c r="H405" s="12" t="n"/>
      <c r="I405" s="13" t="n"/>
      <c r="J405" s="13" t="n"/>
      <c r="K405" s="12" t="n"/>
      <c r="L405" s="13" t="n"/>
      <c r="M405" s="15">
        <f>IF($A405="","",IF($D405="",1,$D405)*$E405+$F405-$H405)</f>
        <v/>
      </c>
      <c r="N405" s="15">
        <f>IF($A405="","",IF($B405="Etsy",IF($D405="",1,$D405)*Settings!$C$19,0))</f>
        <v/>
      </c>
      <c r="O405" s="15">
        <f>IF($A405="","",IF($B405="Etsy",Settings!$C$20*($M405+IF(Settings!$C$54="Y",0,$H405)),0))</f>
        <v/>
      </c>
      <c r="P405" s="15">
        <f>IF($A405="","",IF($B405="Etsy",Settings!$C$21*$M405*(1+Settings!$C$55)+Settings!$C$22,IF($B405="Shopify",Settings!$C$14*$M405+Settings!$C$15,0)))</f>
        <v/>
      </c>
      <c r="Q405" s="15">
        <f>IF($A405="","",IF(AND($B405="Etsy",$I405="Y"),MIN(Settings!$C$12*($M405+IF(Settings!$C$54="Y",0,$H405)),Settings!$C$25),0))</f>
        <v/>
      </c>
      <c r="R405" s="15">
        <f>IF($A405="","",IF(AND($B405="Etsy",$J405="Y",$L405="Y",$M405&gt;0),($O405+Settings!$C$21*$M405*(1+Settings!$C$55)+IF(Settings!$C$59="Y",$Q405,0))*$T405/$M405+IF(AND(Settings!$C$58="Y",$T405&gt;=$M405),Settings!$C$22,0),0))</f>
        <v/>
      </c>
      <c r="S405" s="15">
        <f>IF($A405="","",$N405+$O405+$P405+$Q405-$R405)</f>
        <v/>
      </c>
      <c r="T405" s="15">
        <f>IF($A405="","",IF($J405="Y",IF($K405="",$M405,MIN($K405,$M405)),0))</f>
        <v/>
      </c>
      <c r="U405" s="15">
        <f>IF($A405="","",IF($D405="",1,$D405)*IFERROR(INDEX(Products!$F$5:$F$54,MATCH($C405,Products!$A$5:$A$54,0)),0))</f>
        <v/>
      </c>
      <c r="V405" s="27">
        <f>IF($A405="","",$M405-$T405-$S405-$U405-$G405)</f>
        <v/>
      </c>
      <c r="W405" s="31">
        <f>IF($A405="","",IF($M405-$T405&gt;0,$V405/($M405-$T405),""))</f>
        <v/>
      </c>
      <c r="X405" s="35">
        <f>IF($A405="","",DATE(YEAR($A405),MONTH($A405),1))</f>
        <v/>
      </c>
    </row>
    <row r="406">
      <c r="A406" s="18" t="n"/>
      <c r="B406" s="13" t="n"/>
      <c r="C406" s="13" t="n"/>
      <c r="D406" s="26" t="n"/>
      <c r="E406" s="12" t="n"/>
      <c r="F406" s="12" t="n"/>
      <c r="G406" s="12" t="n"/>
      <c r="H406" s="12" t="n"/>
      <c r="I406" s="13" t="n"/>
      <c r="J406" s="13" t="n"/>
      <c r="K406" s="12" t="n"/>
      <c r="L406" s="13" t="n"/>
      <c r="M406" s="15">
        <f>IF($A406="","",IF($D406="",1,$D406)*$E406+$F406-$H406)</f>
        <v/>
      </c>
      <c r="N406" s="15">
        <f>IF($A406="","",IF($B406="Etsy",IF($D406="",1,$D406)*Settings!$C$19,0))</f>
        <v/>
      </c>
      <c r="O406" s="15">
        <f>IF($A406="","",IF($B406="Etsy",Settings!$C$20*($M406+IF(Settings!$C$54="Y",0,$H406)),0))</f>
        <v/>
      </c>
      <c r="P406" s="15">
        <f>IF($A406="","",IF($B406="Etsy",Settings!$C$21*$M406*(1+Settings!$C$55)+Settings!$C$22,IF($B406="Shopify",Settings!$C$14*$M406+Settings!$C$15,0)))</f>
        <v/>
      </c>
      <c r="Q406" s="15">
        <f>IF($A406="","",IF(AND($B406="Etsy",$I406="Y"),MIN(Settings!$C$12*($M406+IF(Settings!$C$54="Y",0,$H406)),Settings!$C$25),0))</f>
        <v/>
      </c>
      <c r="R406" s="15">
        <f>IF($A406="","",IF(AND($B406="Etsy",$J406="Y",$L406="Y",$M406&gt;0),($O406+Settings!$C$21*$M406*(1+Settings!$C$55)+IF(Settings!$C$59="Y",$Q406,0))*$T406/$M406+IF(AND(Settings!$C$58="Y",$T406&gt;=$M406),Settings!$C$22,0),0))</f>
        <v/>
      </c>
      <c r="S406" s="15">
        <f>IF($A406="","",$N406+$O406+$P406+$Q406-$R406)</f>
        <v/>
      </c>
      <c r="T406" s="15">
        <f>IF($A406="","",IF($J406="Y",IF($K406="",$M406,MIN($K406,$M406)),0))</f>
        <v/>
      </c>
      <c r="U406" s="15">
        <f>IF($A406="","",IF($D406="",1,$D406)*IFERROR(INDEX(Products!$F$5:$F$54,MATCH($C406,Products!$A$5:$A$54,0)),0))</f>
        <v/>
      </c>
      <c r="V406" s="27">
        <f>IF($A406="","",$M406-$T406-$S406-$U406-$G406)</f>
        <v/>
      </c>
      <c r="W406" s="31">
        <f>IF($A406="","",IF($M406-$T406&gt;0,$V406/($M406-$T406),""))</f>
        <v/>
      </c>
      <c r="X406" s="35">
        <f>IF($A406="","",DATE(YEAR($A406),MONTH($A406),1))</f>
        <v/>
      </c>
    </row>
    <row r="407">
      <c r="A407" s="18" t="n"/>
      <c r="B407" s="13" t="n"/>
      <c r="C407" s="13" t="n"/>
      <c r="D407" s="26" t="n"/>
      <c r="E407" s="12" t="n"/>
      <c r="F407" s="12" t="n"/>
      <c r="G407" s="12" t="n"/>
      <c r="H407" s="12" t="n"/>
      <c r="I407" s="13" t="n"/>
      <c r="J407" s="13" t="n"/>
      <c r="K407" s="12" t="n"/>
      <c r="L407" s="13" t="n"/>
      <c r="M407" s="15">
        <f>IF($A407="","",IF($D407="",1,$D407)*$E407+$F407-$H407)</f>
        <v/>
      </c>
      <c r="N407" s="15">
        <f>IF($A407="","",IF($B407="Etsy",IF($D407="",1,$D407)*Settings!$C$19,0))</f>
        <v/>
      </c>
      <c r="O407" s="15">
        <f>IF($A407="","",IF($B407="Etsy",Settings!$C$20*($M407+IF(Settings!$C$54="Y",0,$H407)),0))</f>
        <v/>
      </c>
      <c r="P407" s="15">
        <f>IF($A407="","",IF($B407="Etsy",Settings!$C$21*$M407*(1+Settings!$C$55)+Settings!$C$22,IF($B407="Shopify",Settings!$C$14*$M407+Settings!$C$15,0)))</f>
        <v/>
      </c>
      <c r="Q407" s="15">
        <f>IF($A407="","",IF(AND($B407="Etsy",$I407="Y"),MIN(Settings!$C$12*($M407+IF(Settings!$C$54="Y",0,$H407)),Settings!$C$25),0))</f>
        <v/>
      </c>
      <c r="R407" s="15">
        <f>IF($A407="","",IF(AND($B407="Etsy",$J407="Y",$L407="Y",$M407&gt;0),($O407+Settings!$C$21*$M407*(1+Settings!$C$55)+IF(Settings!$C$59="Y",$Q407,0))*$T407/$M407+IF(AND(Settings!$C$58="Y",$T407&gt;=$M407),Settings!$C$22,0),0))</f>
        <v/>
      </c>
      <c r="S407" s="15">
        <f>IF($A407="","",$N407+$O407+$P407+$Q407-$R407)</f>
        <v/>
      </c>
      <c r="T407" s="15">
        <f>IF($A407="","",IF($J407="Y",IF($K407="",$M407,MIN($K407,$M407)),0))</f>
        <v/>
      </c>
      <c r="U407" s="15">
        <f>IF($A407="","",IF($D407="",1,$D407)*IFERROR(INDEX(Products!$F$5:$F$54,MATCH($C407,Products!$A$5:$A$54,0)),0))</f>
        <v/>
      </c>
      <c r="V407" s="27">
        <f>IF($A407="","",$M407-$T407-$S407-$U407-$G407)</f>
        <v/>
      </c>
      <c r="W407" s="31">
        <f>IF($A407="","",IF($M407-$T407&gt;0,$V407/($M407-$T407),""))</f>
        <v/>
      </c>
      <c r="X407" s="35">
        <f>IF($A407="","",DATE(YEAR($A407),MONTH($A407),1))</f>
        <v/>
      </c>
    </row>
    <row r="408">
      <c r="A408" s="18" t="n"/>
      <c r="B408" s="13" t="n"/>
      <c r="C408" s="13" t="n"/>
      <c r="D408" s="26" t="n"/>
      <c r="E408" s="12" t="n"/>
      <c r="F408" s="12" t="n"/>
      <c r="G408" s="12" t="n"/>
      <c r="H408" s="12" t="n"/>
      <c r="I408" s="13" t="n"/>
      <c r="J408" s="13" t="n"/>
      <c r="K408" s="12" t="n"/>
      <c r="L408" s="13" t="n"/>
      <c r="M408" s="15">
        <f>IF($A408="","",IF($D408="",1,$D408)*$E408+$F408-$H408)</f>
        <v/>
      </c>
      <c r="N408" s="15">
        <f>IF($A408="","",IF($B408="Etsy",IF($D408="",1,$D408)*Settings!$C$19,0))</f>
        <v/>
      </c>
      <c r="O408" s="15">
        <f>IF($A408="","",IF($B408="Etsy",Settings!$C$20*($M408+IF(Settings!$C$54="Y",0,$H408)),0))</f>
        <v/>
      </c>
      <c r="P408" s="15">
        <f>IF($A408="","",IF($B408="Etsy",Settings!$C$21*$M408*(1+Settings!$C$55)+Settings!$C$22,IF($B408="Shopify",Settings!$C$14*$M408+Settings!$C$15,0)))</f>
        <v/>
      </c>
      <c r="Q408" s="15">
        <f>IF($A408="","",IF(AND($B408="Etsy",$I408="Y"),MIN(Settings!$C$12*($M408+IF(Settings!$C$54="Y",0,$H408)),Settings!$C$25),0))</f>
        <v/>
      </c>
      <c r="R408" s="15">
        <f>IF($A408="","",IF(AND($B408="Etsy",$J408="Y",$L408="Y",$M408&gt;0),($O408+Settings!$C$21*$M408*(1+Settings!$C$55)+IF(Settings!$C$59="Y",$Q408,0))*$T408/$M408+IF(AND(Settings!$C$58="Y",$T408&gt;=$M408),Settings!$C$22,0),0))</f>
        <v/>
      </c>
      <c r="S408" s="15">
        <f>IF($A408="","",$N408+$O408+$P408+$Q408-$R408)</f>
        <v/>
      </c>
      <c r="T408" s="15">
        <f>IF($A408="","",IF($J408="Y",IF($K408="",$M408,MIN($K408,$M408)),0))</f>
        <v/>
      </c>
      <c r="U408" s="15">
        <f>IF($A408="","",IF($D408="",1,$D408)*IFERROR(INDEX(Products!$F$5:$F$54,MATCH($C408,Products!$A$5:$A$54,0)),0))</f>
        <v/>
      </c>
      <c r="V408" s="27">
        <f>IF($A408="","",$M408-$T408-$S408-$U408-$G408)</f>
        <v/>
      </c>
      <c r="W408" s="31">
        <f>IF($A408="","",IF($M408-$T408&gt;0,$V408/($M408-$T408),""))</f>
        <v/>
      </c>
      <c r="X408" s="35">
        <f>IF($A408="","",DATE(YEAR($A408),MONTH($A408),1))</f>
        <v/>
      </c>
    </row>
    <row r="409">
      <c r="A409" s="18" t="n"/>
      <c r="B409" s="13" t="n"/>
      <c r="C409" s="13" t="n"/>
      <c r="D409" s="26" t="n"/>
      <c r="E409" s="12" t="n"/>
      <c r="F409" s="12" t="n"/>
      <c r="G409" s="12" t="n"/>
      <c r="H409" s="12" t="n"/>
      <c r="I409" s="13" t="n"/>
      <c r="J409" s="13" t="n"/>
      <c r="K409" s="12" t="n"/>
      <c r="L409" s="13" t="n"/>
      <c r="M409" s="15">
        <f>IF($A409="","",IF($D409="",1,$D409)*$E409+$F409-$H409)</f>
        <v/>
      </c>
      <c r="N409" s="15">
        <f>IF($A409="","",IF($B409="Etsy",IF($D409="",1,$D409)*Settings!$C$19,0))</f>
        <v/>
      </c>
      <c r="O409" s="15">
        <f>IF($A409="","",IF($B409="Etsy",Settings!$C$20*($M409+IF(Settings!$C$54="Y",0,$H409)),0))</f>
        <v/>
      </c>
      <c r="P409" s="15">
        <f>IF($A409="","",IF($B409="Etsy",Settings!$C$21*$M409*(1+Settings!$C$55)+Settings!$C$22,IF($B409="Shopify",Settings!$C$14*$M409+Settings!$C$15,0)))</f>
        <v/>
      </c>
      <c r="Q409" s="15">
        <f>IF($A409="","",IF(AND($B409="Etsy",$I409="Y"),MIN(Settings!$C$12*($M409+IF(Settings!$C$54="Y",0,$H409)),Settings!$C$25),0))</f>
        <v/>
      </c>
      <c r="R409" s="15">
        <f>IF($A409="","",IF(AND($B409="Etsy",$J409="Y",$L409="Y",$M409&gt;0),($O409+Settings!$C$21*$M409*(1+Settings!$C$55)+IF(Settings!$C$59="Y",$Q409,0))*$T409/$M409+IF(AND(Settings!$C$58="Y",$T409&gt;=$M409),Settings!$C$22,0),0))</f>
        <v/>
      </c>
      <c r="S409" s="15">
        <f>IF($A409="","",$N409+$O409+$P409+$Q409-$R409)</f>
        <v/>
      </c>
      <c r="T409" s="15">
        <f>IF($A409="","",IF($J409="Y",IF($K409="",$M409,MIN($K409,$M409)),0))</f>
        <v/>
      </c>
      <c r="U409" s="15">
        <f>IF($A409="","",IF($D409="",1,$D409)*IFERROR(INDEX(Products!$F$5:$F$54,MATCH($C409,Products!$A$5:$A$54,0)),0))</f>
        <v/>
      </c>
      <c r="V409" s="27">
        <f>IF($A409="","",$M409-$T409-$S409-$U409-$G409)</f>
        <v/>
      </c>
      <c r="W409" s="31">
        <f>IF($A409="","",IF($M409-$T409&gt;0,$V409/($M409-$T409),""))</f>
        <v/>
      </c>
      <c r="X409" s="35">
        <f>IF($A409="","",DATE(YEAR($A409),MONTH($A409),1))</f>
        <v/>
      </c>
    </row>
    <row r="410">
      <c r="A410" s="18" t="n"/>
      <c r="B410" s="13" t="n"/>
      <c r="C410" s="13" t="n"/>
      <c r="D410" s="26" t="n"/>
      <c r="E410" s="12" t="n"/>
      <c r="F410" s="12" t="n"/>
      <c r="G410" s="12" t="n"/>
      <c r="H410" s="12" t="n"/>
      <c r="I410" s="13" t="n"/>
      <c r="J410" s="13" t="n"/>
      <c r="K410" s="12" t="n"/>
      <c r="L410" s="13" t="n"/>
      <c r="M410" s="15">
        <f>IF($A410="","",IF($D410="",1,$D410)*$E410+$F410-$H410)</f>
        <v/>
      </c>
      <c r="N410" s="15">
        <f>IF($A410="","",IF($B410="Etsy",IF($D410="",1,$D410)*Settings!$C$19,0))</f>
        <v/>
      </c>
      <c r="O410" s="15">
        <f>IF($A410="","",IF($B410="Etsy",Settings!$C$20*($M410+IF(Settings!$C$54="Y",0,$H410)),0))</f>
        <v/>
      </c>
      <c r="P410" s="15">
        <f>IF($A410="","",IF($B410="Etsy",Settings!$C$21*$M410*(1+Settings!$C$55)+Settings!$C$22,IF($B410="Shopify",Settings!$C$14*$M410+Settings!$C$15,0)))</f>
        <v/>
      </c>
      <c r="Q410" s="15">
        <f>IF($A410="","",IF(AND($B410="Etsy",$I410="Y"),MIN(Settings!$C$12*($M410+IF(Settings!$C$54="Y",0,$H410)),Settings!$C$25),0))</f>
        <v/>
      </c>
      <c r="R410" s="15">
        <f>IF($A410="","",IF(AND($B410="Etsy",$J410="Y",$L410="Y",$M410&gt;0),($O410+Settings!$C$21*$M410*(1+Settings!$C$55)+IF(Settings!$C$59="Y",$Q410,0))*$T410/$M410+IF(AND(Settings!$C$58="Y",$T410&gt;=$M410),Settings!$C$22,0),0))</f>
        <v/>
      </c>
      <c r="S410" s="15">
        <f>IF($A410="","",$N410+$O410+$P410+$Q410-$R410)</f>
        <v/>
      </c>
      <c r="T410" s="15">
        <f>IF($A410="","",IF($J410="Y",IF($K410="",$M410,MIN($K410,$M410)),0))</f>
        <v/>
      </c>
      <c r="U410" s="15">
        <f>IF($A410="","",IF($D410="",1,$D410)*IFERROR(INDEX(Products!$F$5:$F$54,MATCH($C410,Products!$A$5:$A$54,0)),0))</f>
        <v/>
      </c>
      <c r="V410" s="27">
        <f>IF($A410="","",$M410-$T410-$S410-$U410-$G410)</f>
        <v/>
      </c>
      <c r="W410" s="31">
        <f>IF($A410="","",IF($M410-$T410&gt;0,$V410/($M410-$T410),""))</f>
        <v/>
      </c>
      <c r="X410" s="35">
        <f>IF($A410="","",DATE(YEAR($A410),MONTH($A410),1))</f>
        <v/>
      </c>
    </row>
    <row r="411">
      <c r="A411" s="18" t="n"/>
      <c r="B411" s="13" t="n"/>
      <c r="C411" s="13" t="n"/>
      <c r="D411" s="26" t="n"/>
      <c r="E411" s="12" t="n"/>
      <c r="F411" s="12" t="n"/>
      <c r="G411" s="12" t="n"/>
      <c r="H411" s="12" t="n"/>
      <c r="I411" s="13" t="n"/>
      <c r="J411" s="13" t="n"/>
      <c r="K411" s="12" t="n"/>
      <c r="L411" s="13" t="n"/>
      <c r="M411" s="15">
        <f>IF($A411="","",IF($D411="",1,$D411)*$E411+$F411-$H411)</f>
        <v/>
      </c>
      <c r="N411" s="15">
        <f>IF($A411="","",IF($B411="Etsy",IF($D411="",1,$D411)*Settings!$C$19,0))</f>
        <v/>
      </c>
      <c r="O411" s="15">
        <f>IF($A411="","",IF($B411="Etsy",Settings!$C$20*($M411+IF(Settings!$C$54="Y",0,$H411)),0))</f>
        <v/>
      </c>
      <c r="P411" s="15">
        <f>IF($A411="","",IF($B411="Etsy",Settings!$C$21*$M411*(1+Settings!$C$55)+Settings!$C$22,IF($B411="Shopify",Settings!$C$14*$M411+Settings!$C$15,0)))</f>
        <v/>
      </c>
      <c r="Q411" s="15">
        <f>IF($A411="","",IF(AND($B411="Etsy",$I411="Y"),MIN(Settings!$C$12*($M411+IF(Settings!$C$54="Y",0,$H411)),Settings!$C$25),0))</f>
        <v/>
      </c>
      <c r="R411" s="15">
        <f>IF($A411="","",IF(AND($B411="Etsy",$J411="Y",$L411="Y",$M411&gt;0),($O411+Settings!$C$21*$M411*(1+Settings!$C$55)+IF(Settings!$C$59="Y",$Q411,0))*$T411/$M411+IF(AND(Settings!$C$58="Y",$T411&gt;=$M411),Settings!$C$22,0),0))</f>
        <v/>
      </c>
      <c r="S411" s="15">
        <f>IF($A411="","",$N411+$O411+$P411+$Q411-$R411)</f>
        <v/>
      </c>
      <c r="T411" s="15">
        <f>IF($A411="","",IF($J411="Y",IF($K411="",$M411,MIN($K411,$M411)),0))</f>
        <v/>
      </c>
      <c r="U411" s="15">
        <f>IF($A411="","",IF($D411="",1,$D411)*IFERROR(INDEX(Products!$F$5:$F$54,MATCH($C411,Products!$A$5:$A$54,0)),0))</f>
        <v/>
      </c>
      <c r="V411" s="27">
        <f>IF($A411="","",$M411-$T411-$S411-$U411-$G411)</f>
        <v/>
      </c>
      <c r="W411" s="31">
        <f>IF($A411="","",IF($M411-$T411&gt;0,$V411/($M411-$T411),""))</f>
        <v/>
      </c>
      <c r="X411" s="35">
        <f>IF($A411="","",DATE(YEAR($A411),MONTH($A411),1))</f>
        <v/>
      </c>
    </row>
    <row r="412">
      <c r="A412" s="18" t="n"/>
      <c r="B412" s="13" t="n"/>
      <c r="C412" s="13" t="n"/>
      <c r="D412" s="26" t="n"/>
      <c r="E412" s="12" t="n"/>
      <c r="F412" s="12" t="n"/>
      <c r="G412" s="12" t="n"/>
      <c r="H412" s="12" t="n"/>
      <c r="I412" s="13" t="n"/>
      <c r="J412" s="13" t="n"/>
      <c r="K412" s="12" t="n"/>
      <c r="L412" s="13" t="n"/>
      <c r="M412" s="15">
        <f>IF($A412="","",IF($D412="",1,$D412)*$E412+$F412-$H412)</f>
        <v/>
      </c>
      <c r="N412" s="15">
        <f>IF($A412="","",IF($B412="Etsy",IF($D412="",1,$D412)*Settings!$C$19,0))</f>
        <v/>
      </c>
      <c r="O412" s="15">
        <f>IF($A412="","",IF($B412="Etsy",Settings!$C$20*($M412+IF(Settings!$C$54="Y",0,$H412)),0))</f>
        <v/>
      </c>
      <c r="P412" s="15">
        <f>IF($A412="","",IF($B412="Etsy",Settings!$C$21*$M412*(1+Settings!$C$55)+Settings!$C$22,IF($B412="Shopify",Settings!$C$14*$M412+Settings!$C$15,0)))</f>
        <v/>
      </c>
      <c r="Q412" s="15">
        <f>IF($A412="","",IF(AND($B412="Etsy",$I412="Y"),MIN(Settings!$C$12*($M412+IF(Settings!$C$54="Y",0,$H412)),Settings!$C$25),0))</f>
        <v/>
      </c>
      <c r="R412" s="15">
        <f>IF($A412="","",IF(AND($B412="Etsy",$J412="Y",$L412="Y",$M412&gt;0),($O412+Settings!$C$21*$M412*(1+Settings!$C$55)+IF(Settings!$C$59="Y",$Q412,0))*$T412/$M412+IF(AND(Settings!$C$58="Y",$T412&gt;=$M412),Settings!$C$22,0),0))</f>
        <v/>
      </c>
      <c r="S412" s="15">
        <f>IF($A412="","",$N412+$O412+$P412+$Q412-$R412)</f>
        <v/>
      </c>
      <c r="T412" s="15">
        <f>IF($A412="","",IF($J412="Y",IF($K412="",$M412,MIN($K412,$M412)),0))</f>
        <v/>
      </c>
      <c r="U412" s="15">
        <f>IF($A412="","",IF($D412="",1,$D412)*IFERROR(INDEX(Products!$F$5:$F$54,MATCH($C412,Products!$A$5:$A$54,0)),0))</f>
        <v/>
      </c>
      <c r="V412" s="27">
        <f>IF($A412="","",$M412-$T412-$S412-$U412-$G412)</f>
        <v/>
      </c>
      <c r="W412" s="31">
        <f>IF($A412="","",IF($M412-$T412&gt;0,$V412/($M412-$T412),""))</f>
        <v/>
      </c>
      <c r="X412" s="35">
        <f>IF($A412="","",DATE(YEAR($A412),MONTH($A412),1))</f>
        <v/>
      </c>
    </row>
    <row r="413">
      <c r="A413" s="18" t="n"/>
      <c r="B413" s="13" t="n"/>
      <c r="C413" s="13" t="n"/>
      <c r="D413" s="26" t="n"/>
      <c r="E413" s="12" t="n"/>
      <c r="F413" s="12" t="n"/>
      <c r="G413" s="12" t="n"/>
      <c r="H413" s="12" t="n"/>
      <c r="I413" s="13" t="n"/>
      <c r="J413" s="13" t="n"/>
      <c r="K413" s="12" t="n"/>
      <c r="L413" s="13" t="n"/>
      <c r="M413" s="15">
        <f>IF($A413="","",IF($D413="",1,$D413)*$E413+$F413-$H413)</f>
        <v/>
      </c>
      <c r="N413" s="15">
        <f>IF($A413="","",IF($B413="Etsy",IF($D413="",1,$D413)*Settings!$C$19,0))</f>
        <v/>
      </c>
      <c r="O413" s="15">
        <f>IF($A413="","",IF($B413="Etsy",Settings!$C$20*($M413+IF(Settings!$C$54="Y",0,$H413)),0))</f>
        <v/>
      </c>
      <c r="P413" s="15">
        <f>IF($A413="","",IF($B413="Etsy",Settings!$C$21*$M413*(1+Settings!$C$55)+Settings!$C$22,IF($B413="Shopify",Settings!$C$14*$M413+Settings!$C$15,0)))</f>
        <v/>
      </c>
      <c r="Q413" s="15">
        <f>IF($A413="","",IF(AND($B413="Etsy",$I413="Y"),MIN(Settings!$C$12*($M413+IF(Settings!$C$54="Y",0,$H413)),Settings!$C$25),0))</f>
        <v/>
      </c>
      <c r="R413" s="15">
        <f>IF($A413="","",IF(AND($B413="Etsy",$J413="Y",$L413="Y",$M413&gt;0),($O413+Settings!$C$21*$M413*(1+Settings!$C$55)+IF(Settings!$C$59="Y",$Q413,0))*$T413/$M413+IF(AND(Settings!$C$58="Y",$T413&gt;=$M413),Settings!$C$22,0),0))</f>
        <v/>
      </c>
      <c r="S413" s="15">
        <f>IF($A413="","",$N413+$O413+$P413+$Q413-$R413)</f>
        <v/>
      </c>
      <c r="T413" s="15">
        <f>IF($A413="","",IF($J413="Y",IF($K413="",$M413,MIN($K413,$M413)),0))</f>
        <v/>
      </c>
      <c r="U413" s="15">
        <f>IF($A413="","",IF($D413="",1,$D413)*IFERROR(INDEX(Products!$F$5:$F$54,MATCH($C413,Products!$A$5:$A$54,0)),0))</f>
        <v/>
      </c>
      <c r="V413" s="27">
        <f>IF($A413="","",$M413-$T413-$S413-$U413-$G413)</f>
        <v/>
      </c>
      <c r="W413" s="31">
        <f>IF($A413="","",IF($M413-$T413&gt;0,$V413/($M413-$T413),""))</f>
        <v/>
      </c>
      <c r="X413" s="35">
        <f>IF($A413="","",DATE(YEAR($A413),MONTH($A413),1))</f>
        <v/>
      </c>
    </row>
    <row r="414">
      <c r="A414" s="18" t="n"/>
      <c r="B414" s="13" t="n"/>
      <c r="C414" s="13" t="n"/>
      <c r="D414" s="26" t="n"/>
      <c r="E414" s="12" t="n"/>
      <c r="F414" s="12" t="n"/>
      <c r="G414" s="12" t="n"/>
      <c r="H414" s="12" t="n"/>
      <c r="I414" s="13" t="n"/>
      <c r="J414" s="13" t="n"/>
      <c r="K414" s="12" t="n"/>
      <c r="L414" s="13" t="n"/>
      <c r="M414" s="15">
        <f>IF($A414="","",IF($D414="",1,$D414)*$E414+$F414-$H414)</f>
        <v/>
      </c>
      <c r="N414" s="15">
        <f>IF($A414="","",IF($B414="Etsy",IF($D414="",1,$D414)*Settings!$C$19,0))</f>
        <v/>
      </c>
      <c r="O414" s="15">
        <f>IF($A414="","",IF($B414="Etsy",Settings!$C$20*($M414+IF(Settings!$C$54="Y",0,$H414)),0))</f>
        <v/>
      </c>
      <c r="P414" s="15">
        <f>IF($A414="","",IF($B414="Etsy",Settings!$C$21*$M414*(1+Settings!$C$55)+Settings!$C$22,IF($B414="Shopify",Settings!$C$14*$M414+Settings!$C$15,0)))</f>
        <v/>
      </c>
      <c r="Q414" s="15">
        <f>IF($A414="","",IF(AND($B414="Etsy",$I414="Y"),MIN(Settings!$C$12*($M414+IF(Settings!$C$54="Y",0,$H414)),Settings!$C$25),0))</f>
        <v/>
      </c>
      <c r="R414" s="15">
        <f>IF($A414="","",IF(AND($B414="Etsy",$J414="Y",$L414="Y",$M414&gt;0),($O414+Settings!$C$21*$M414*(1+Settings!$C$55)+IF(Settings!$C$59="Y",$Q414,0))*$T414/$M414+IF(AND(Settings!$C$58="Y",$T414&gt;=$M414),Settings!$C$22,0),0))</f>
        <v/>
      </c>
      <c r="S414" s="15">
        <f>IF($A414="","",$N414+$O414+$P414+$Q414-$R414)</f>
        <v/>
      </c>
      <c r="T414" s="15">
        <f>IF($A414="","",IF($J414="Y",IF($K414="",$M414,MIN($K414,$M414)),0))</f>
        <v/>
      </c>
      <c r="U414" s="15">
        <f>IF($A414="","",IF($D414="",1,$D414)*IFERROR(INDEX(Products!$F$5:$F$54,MATCH($C414,Products!$A$5:$A$54,0)),0))</f>
        <v/>
      </c>
      <c r="V414" s="27">
        <f>IF($A414="","",$M414-$T414-$S414-$U414-$G414)</f>
        <v/>
      </c>
      <c r="W414" s="31">
        <f>IF($A414="","",IF($M414-$T414&gt;0,$V414/($M414-$T414),""))</f>
        <v/>
      </c>
      <c r="X414" s="35">
        <f>IF($A414="","",DATE(YEAR($A414),MONTH($A414),1))</f>
        <v/>
      </c>
    </row>
    <row r="415">
      <c r="A415" s="18" t="n"/>
      <c r="B415" s="13" t="n"/>
      <c r="C415" s="13" t="n"/>
      <c r="D415" s="26" t="n"/>
      <c r="E415" s="12" t="n"/>
      <c r="F415" s="12" t="n"/>
      <c r="G415" s="12" t="n"/>
      <c r="H415" s="12" t="n"/>
      <c r="I415" s="13" t="n"/>
      <c r="J415" s="13" t="n"/>
      <c r="K415" s="12" t="n"/>
      <c r="L415" s="13" t="n"/>
      <c r="M415" s="15">
        <f>IF($A415="","",IF($D415="",1,$D415)*$E415+$F415-$H415)</f>
        <v/>
      </c>
      <c r="N415" s="15">
        <f>IF($A415="","",IF($B415="Etsy",IF($D415="",1,$D415)*Settings!$C$19,0))</f>
        <v/>
      </c>
      <c r="O415" s="15">
        <f>IF($A415="","",IF($B415="Etsy",Settings!$C$20*($M415+IF(Settings!$C$54="Y",0,$H415)),0))</f>
        <v/>
      </c>
      <c r="P415" s="15">
        <f>IF($A415="","",IF($B415="Etsy",Settings!$C$21*$M415*(1+Settings!$C$55)+Settings!$C$22,IF($B415="Shopify",Settings!$C$14*$M415+Settings!$C$15,0)))</f>
        <v/>
      </c>
      <c r="Q415" s="15">
        <f>IF($A415="","",IF(AND($B415="Etsy",$I415="Y"),MIN(Settings!$C$12*($M415+IF(Settings!$C$54="Y",0,$H415)),Settings!$C$25),0))</f>
        <v/>
      </c>
      <c r="R415" s="15">
        <f>IF($A415="","",IF(AND($B415="Etsy",$J415="Y",$L415="Y",$M415&gt;0),($O415+Settings!$C$21*$M415*(1+Settings!$C$55)+IF(Settings!$C$59="Y",$Q415,0))*$T415/$M415+IF(AND(Settings!$C$58="Y",$T415&gt;=$M415),Settings!$C$22,0),0))</f>
        <v/>
      </c>
      <c r="S415" s="15">
        <f>IF($A415="","",$N415+$O415+$P415+$Q415-$R415)</f>
        <v/>
      </c>
      <c r="T415" s="15">
        <f>IF($A415="","",IF($J415="Y",IF($K415="",$M415,MIN($K415,$M415)),0))</f>
        <v/>
      </c>
      <c r="U415" s="15">
        <f>IF($A415="","",IF($D415="",1,$D415)*IFERROR(INDEX(Products!$F$5:$F$54,MATCH($C415,Products!$A$5:$A$54,0)),0))</f>
        <v/>
      </c>
      <c r="V415" s="27">
        <f>IF($A415="","",$M415-$T415-$S415-$U415-$G415)</f>
        <v/>
      </c>
      <c r="W415" s="31">
        <f>IF($A415="","",IF($M415-$T415&gt;0,$V415/($M415-$T415),""))</f>
        <v/>
      </c>
      <c r="X415" s="35">
        <f>IF($A415="","",DATE(YEAR($A415),MONTH($A415),1))</f>
        <v/>
      </c>
    </row>
    <row r="416">
      <c r="A416" s="18" t="n"/>
      <c r="B416" s="13" t="n"/>
      <c r="C416" s="13" t="n"/>
      <c r="D416" s="26" t="n"/>
      <c r="E416" s="12" t="n"/>
      <c r="F416" s="12" t="n"/>
      <c r="G416" s="12" t="n"/>
      <c r="H416" s="12" t="n"/>
      <c r="I416" s="13" t="n"/>
      <c r="J416" s="13" t="n"/>
      <c r="K416" s="12" t="n"/>
      <c r="L416" s="13" t="n"/>
      <c r="M416" s="15">
        <f>IF($A416="","",IF($D416="",1,$D416)*$E416+$F416-$H416)</f>
        <v/>
      </c>
      <c r="N416" s="15">
        <f>IF($A416="","",IF($B416="Etsy",IF($D416="",1,$D416)*Settings!$C$19,0))</f>
        <v/>
      </c>
      <c r="O416" s="15">
        <f>IF($A416="","",IF($B416="Etsy",Settings!$C$20*($M416+IF(Settings!$C$54="Y",0,$H416)),0))</f>
        <v/>
      </c>
      <c r="P416" s="15">
        <f>IF($A416="","",IF($B416="Etsy",Settings!$C$21*$M416*(1+Settings!$C$55)+Settings!$C$22,IF($B416="Shopify",Settings!$C$14*$M416+Settings!$C$15,0)))</f>
        <v/>
      </c>
      <c r="Q416" s="15">
        <f>IF($A416="","",IF(AND($B416="Etsy",$I416="Y"),MIN(Settings!$C$12*($M416+IF(Settings!$C$54="Y",0,$H416)),Settings!$C$25),0))</f>
        <v/>
      </c>
      <c r="R416" s="15">
        <f>IF($A416="","",IF(AND($B416="Etsy",$J416="Y",$L416="Y",$M416&gt;0),($O416+Settings!$C$21*$M416*(1+Settings!$C$55)+IF(Settings!$C$59="Y",$Q416,0))*$T416/$M416+IF(AND(Settings!$C$58="Y",$T416&gt;=$M416),Settings!$C$22,0),0))</f>
        <v/>
      </c>
      <c r="S416" s="15">
        <f>IF($A416="","",$N416+$O416+$P416+$Q416-$R416)</f>
        <v/>
      </c>
      <c r="T416" s="15">
        <f>IF($A416="","",IF($J416="Y",IF($K416="",$M416,MIN($K416,$M416)),0))</f>
        <v/>
      </c>
      <c r="U416" s="15">
        <f>IF($A416="","",IF($D416="",1,$D416)*IFERROR(INDEX(Products!$F$5:$F$54,MATCH($C416,Products!$A$5:$A$54,0)),0))</f>
        <v/>
      </c>
      <c r="V416" s="27">
        <f>IF($A416="","",$M416-$T416-$S416-$U416-$G416)</f>
        <v/>
      </c>
      <c r="W416" s="31">
        <f>IF($A416="","",IF($M416-$T416&gt;0,$V416/($M416-$T416),""))</f>
        <v/>
      </c>
      <c r="X416" s="35">
        <f>IF($A416="","",DATE(YEAR($A416),MONTH($A416),1))</f>
        <v/>
      </c>
    </row>
    <row r="417">
      <c r="A417" s="18" t="n"/>
      <c r="B417" s="13" t="n"/>
      <c r="C417" s="13" t="n"/>
      <c r="D417" s="26" t="n"/>
      <c r="E417" s="12" t="n"/>
      <c r="F417" s="12" t="n"/>
      <c r="G417" s="12" t="n"/>
      <c r="H417" s="12" t="n"/>
      <c r="I417" s="13" t="n"/>
      <c r="J417" s="13" t="n"/>
      <c r="K417" s="12" t="n"/>
      <c r="L417" s="13" t="n"/>
      <c r="M417" s="15">
        <f>IF($A417="","",IF($D417="",1,$D417)*$E417+$F417-$H417)</f>
        <v/>
      </c>
      <c r="N417" s="15">
        <f>IF($A417="","",IF($B417="Etsy",IF($D417="",1,$D417)*Settings!$C$19,0))</f>
        <v/>
      </c>
      <c r="O417" s="15">
        <f>IF($A417="","",IF($B417="Etsy",Settings!$C$20*($M417+IF(Settings!$C$54="Y",0,$H417)),0))</f>
        <v/>
      </c>
      <c r="P417" s="15">
        <f>IF($A417="","",IF($B417="Etsy",Settings!$C$21*$M417*(1+Settings!$C$55)+Settings!$C$22,IF($B417="Shopify",Settings!$C$14*$M417+Settings!$C$15,0)))</f>
        <v/>
      </c>
      <c r="Q417" s="15">
        <f>IF($A417="","",IF(AND($B417="Etsy",$I417="Y"),MIN(Settings!$C$12*($M417+IF(Settings!$C$54="Y",0,$H417)),Settings!$C$25),0))</f>
        <v/>
      </c>
      <c r="R417" s="15">
        <f>IF($A417="","",IF(AND($B417="Etsy",$J417="Y",$L417="Y",$M417&gt;0),($O417+Settings!$C$21*$M417*(1+Settings!$C$55)+IF(Settings!$C$59="Y",$Q417,0))*$T417/$M417+IF(AND(Settings!$C$58="Y",$T417&gt;=$M417),Settings!$C$22,0),0))</f>
        <v/>
      </c>
      <c r="S417" s="15">
        <f>IF($A417="","",$N417+$O417+$P417+$Q417-$R417)</f>
        <v/>
      </c>
      <c r="T417" s="15">
        <f>IF($A417="","",IF($J417="Y",IF($K417="",$M417,MIN($K417,$M417)),0))</f>
        <v/>
      </c>
      <c r="U417" s="15">
        <f>IF($A417="","",IF($D417="",1,$D417)*IFERROR(INDEX(Products!$F$5:$F$54,MATCH($C417,Products!$A$5:$A$54,0)),0))</f>
        <v/>
      </c>
      <c r="V417" s="27">
        <f>IF($A417="","",$M417-$T417-$S417-$U417-$G417)</f>
        <v/>
      </c>
      <c r="W417" s="31">
        <f>IF($A417="","",IF($M417-$T417&gt;0,$V417/($M417-$T417),""))</f>
        <v/>
      </c>
      <c r="X417" s="35">
        <f>IF($A417="","",DATE(YEAR($A417),MONTH($A417),1))</f>
        <v/>
      </c>
    </row>
    <row r="418">
      <c r="A418" s="18" t="n"/>
      <c r="B418" s="13" t="n"/>
      <c r="C418" s="13" t="n"/>
      <c r="D418" s="26" t="n"/>
      <c r="E418" s="12" t="n"/>
      <c r="F418" s="12" t="n"/>
      <c r="G418" s="12" t="n"/>
      <c r="H418" s="12" t="n"/>
      <c r="I418" s="13" t="n"/>
      <c r="J418" s="13" t="n"/>
      <c r="K418" s="12" t="n"/>
      <c r="L418" s="13" t="n"/>
      <c r="M418" s="15">
        <f>IF($A418="","",IF($D418="",1,$D418)*$E418+$F418-$H418)</f>
        <v/>
      </c>
      <c r="N418" s="15">
        <f>IF($A418="","",IF($B418="Etsy",IF($D418="",1,$D418)*Settings!$C$19,0))</f>
        <v/>
      </c>
      <c r="O418" s="15">
        <f>IF($A418="","",IF($B418="Etsy",Settings!$C$20*($M418+IF(Settings!$C$54="Y",0,$H418)),0))</f>
        <v/>
      </c>
      <c r="P418" s="15">
        <f>IF($A418="","",IF($B418="Etsy",Settings!$C$21*$M418*(1+Settings!$C$55)+Settings!$C$22,IF($B418="Shopify",Settings!$C$14*$M418+Settings!$C$15,0)))</f>
        <v/>
      </c>
      <c r="Q418" s="15">
        <f>IF($A418="","",IF(AND($B418="Etsy",$I418="Y"),MIN(Settings!$C$12*($M418+IF(Settings!$C$54="Y",0,$H418)),Settings!$C$25),0))</f>
        <v/>
      </c>
      <c r="R418" s="15">
        <f>IF($A418="","",IF(AND($B418="Etsy",$J418="Y",$L418="Y",$M418&gt;0),($O418+Settings!$C$21*$M418*(1+Settings!$C$55)+IF(Settings!$C$59="Y",$Q418,0))*$T418/$M418+IF(AND(Settings!$C$58="Y",$T418&gt;=$M418),Settings!$C$22,0),0))</f>
        <v/>
      </c>
      <c r="S418" s="15">
        <f>IF($A418="","",$N418+$O418+$P418+$Q418-$R418)</f>
        <v/>
      </c>
      <c r="T418" s="15">
        <f>IF($A418="","",IF($J418="Y",IF($K418="",$M418,MIN($K418,$M418)),0))</f>
        <v/>
      </c>
      <c r="U418" s="15">
        <f>IF($A418="","",IF($D418="",1,$D418)*IFERROR(INDEX(Products!$F$5:$F$54,MATCH($C418,Products!$A$5:$A$54,0)),0))</f>
        <v/>
      </c>
      <c r="V418" s="27">
        <f>IF($A418="","",$M418-$T418-$S418-$U418-$G418)</f>
        <v/>
      </c>
      <c r="W418" s="31">
        <f>IF($A418="","",IF($M418-$T418&gt;0,$V418/($M418-$T418),""))</f>
        <v/>
      </c>
      <c r="X418" s="35">
        <f>IF($A418="","",DATE(YEAR($A418),MONTH($A418),1))</f>
        <v/>
      </c>
    </row>
    <row r="419">
      <c r="A419" s="18" t="n"/>
      <c r="B419" s="13" t="n"/>
      <c r="C419" s="13" t="n"/>
      <c r="D419" s="26" t="n"/>
      <c r="E419" s="12" t="n"/>
      <c r="F419" s="12" t="n"/>
      <c r="G419" s="12" t="n"/>
      <c r="H419" s="12" t="n"/>
      <c r="I419" s="13" t="n"/>
      <c r="J419" s="13" t="n"/>
      <c r="K419" s="12" t="n"/>
      <c r="L419" s="13" t="n"/>
      <c r="M419" s="15">
        <f>IF($A419="","",IF($D419="",1,$D419)*$E419+$F419-$H419)</f>
        <v/>
      </c>
      <c r="N419" s="15">
        <f>IF($A419="","",IF($B419="Etsy",IF($D419="",1,$D419)*Settings!$C$19,0))</f>
        <v/>
      </c>
      <c r="O419" s="15">
        <f>IF($A419="","",IF($B419="Etsy",Settings!$C$20*($M419+IF(Settings!$C$54="Y",0,$H419)),0))</f>
        <v/>
      </c>
      <c r="P419" s="15">
        <f>IF($A419="","",IF($B419="Etsy",Settings!$C$21*$M419*(1+Settings!$C$55)+Settings!$C$22,IF($B419="Shopify",Settings!$C$14*$M419+Settings!$C$15,0)))</f>
        <v/>
      </c>
      <c r="Q419" s="15">
        <f>IF($A419="","",IF(AND($B419="Etsy",$I419="Y"),MIN(Settings!$C$12*($M419+IF(Settings!$C$54="Y",0,$H419)),Settings!$C$25),0))</f>
        <v/>
      </c>
      <c r="R419" s="15">
        <f>IF($A419="","",IF(AND($B419="Etsy",$J419="Y",$L419="Y",$M419&gt;0),($O419+Settings!$C$21*$M419*(1+Settings!$C$55)+IF(Settings!$C$59="Y",$Q419,0))*$T419/$M419+IF(AND(Settings!$C$58="Y",$T419&gt;=$M419),Settings!$C$22,0),0))</f>
        <v/>
      </c>
      <c r="S419" s="15">
        <f>IF($A419="","",$N419+$O419+$P419+$Q419-$R419)</f>
        <v/>
      </c>
      <c r="T419" s="15">
        <f>IF($A419="","",IF($J419="Y",IF($K419="",$M419,MIN($K419,$M419)),0))</f>
        <v/>
      </c>
      <c r="U419" s="15">
        <f>IF($A419="","",IF($D419="",1,$D419)*IFERROR(INDEX(Products!$F$5:$F$54,MATCH($C419,Products!$A$5:$A$54,0)),0))</f>
        <v/>
      </c>
      <c r="V419" s="27">
        <f>IF($A419="","",$M419-$T419-$S419-$U419-$G419)</f>
        <v/>
      </c>
      <c r="W419" s="31">
        <f>IF($A419="","",IF($M419-$T419&gt;0,$V419/($M419-$T419),""))</f>
        <v/>
      </c>
      <c r="X419" s="35">
        <f>IF($A419="","",DATE(YEAR($A419),MONTH($A419),1))</f>
        <v/>
      </c>
    </row>
    <row r="420">
      <c r="A420" s="18" t="n"/>
      <c r="B420" s="13" t="n"/>
      <c r="C420" s="13" t="n"/>
      <c r="D420" s="26" t="n"/>
      <c r="E420" s="12" t="n"/>
      <c r="F420" s="12" t="n"/>
      <c r="G420" s="12" t="n"/>
      <c r="H420" s="12" t="n"/>
      <c r="I420" s="13" t="n"/>
      <c r="J420" s="13" t="n"/>
      <c r="K420" s="12" t="n"/>
      <c r="L420" s="13" t="n"/>
      <c r="M420" s="15">
        <f>IF($A420="","",IF($D420="",1,$D420)*$E420+$F420-$H420)</f>
        <v/>
      </c>
      <c r="N420" s="15">
        <f>IF($A420="","",IF($B420="Etsy",IF($D420="",1,$D420)*Settings!$C$19,0))</f>
        <v/>
      </c>
      <c r="O420" s="15">
        <f>IF($A420="","",IF($B420="Etsy",Settings!$C$20*($M420+IF(Settings!$C$54="Y",0,$H420)),0))</f>
        <v/>
      </c>
      <c r="P420" s="15">
        <f>IF($A420="","",IF($B420="Etsy",Settings!$C$21*$M420*(1+Settings!$C$55)+Settings!$C$22,IF($B420="Shopify",Settings!$C$14*$M420+Settings!$C$15,0)))</f>
        <v/>
      </c>
      <c r="Q420" s="15">
        <f>IF($A420="","",IF(AND($B420="Etsy",$I420="Y"),MIN(Settings!$C$12*($M420+IF(Settings!$C$54="Y",0,$H420)),Settings!$C$25),0))</f>
        <v/>
      </c>
      <c r="R420" s="15">
        <f>IF($A420="","",IF(AND($B420="Etsy",$J420="Y",$L420="Y",$M420&gt;0),($O420+Settings!$C$21*$M420*(1+Settings!$C$55)+IF(Settings!$C$59="Y",$Q420,0))*$T420/$M420+IF(AND(Settings!$C$58="Y",$T420&gt;=$M420),Settings!$C$22,0),0))</f>
        <v/>
      </c>
      <c r="S420" s="15">
        <f>IF($A420="","",$N420+$O420+$P420+$Q420-$R420)</f>
        <v/>
      </c>
      <c r="T420" s="15">
        <f>IF($A420="","",IF($J420="Y",IF($K420="",$M420,MIN($K420,$M420)),0))</f>
        <v/>
      </c>
      <c r="U420" s="15">
        <f>IF($A420="","",IF($D420="",1,$D420)*IFERROR(INDEX(Products!$F$5:$F$54,MATCH($C420,Products!$A$5:$A$54,0)),0))</f>
        <v/>
      </c>
      <c r="V420" s="27">
        <f>IF($A420="","",$M420-$T420-$S420-$U420-$G420)</f>
        <v/>
      </c>
      <c r="W420" s="31">
        <f>IF($A420="","",IF($M420-$T420&gt;0,$V420/($M420-$T420),""))</f>
        <v/>
      </c>
      <c r="X420" s="35">
        <f>IF($A420="","",DATE(YEAR($A420),MONTH($A420),1))</f>
        <v/>
      </c>
    </row>
    <row r="421">
      <c r="A421" s="18" t="n"/>
      <c r="B421" s="13" t="n"/>
      <c r="C421" s="13" t="n"/>
      <c r="D421" s="26" t="n"/>
      <c r="E421" s="12" t="n"/>
      <c r="F421" s="12" t="n"/>
      <c r="G421" s="12" t="n"/>
      <c r="H421" s="12" t="n"/>
      <c r="I421" s="13" t="n"/>
      <c r="J421" s="13" t="n"/>
      <c r="K421" s="12" t="n"/>
      <c r="L421" s="13" t="n"/>
      <c r="M421" s="15">
        <f>IF($A421="","",IF($D421="",1,$D421)*$E421+$F421-$H421)</f>
        <v/>
      </c>
      <c r="N421" s="15">
        <f>IF($A421="","",IF($B421="Etsy",IF($D421="",1,$D421)*Settings!$C$19,0))</f>
        <v/>
      </c>
      <c r="O421" s="15">
        <f>IF($A421="","",IF($B421="Etsy",Settings!$C$20*($M421+IF(Settings!$C$54="Y",0,$H421)),0))</f>
        <v/>
      </c>
      <c r="P421" s="15">
        <f>IF($A421="","",IF($B421="Etsy",Settings!$C$21*$M421*(1+Settings!$C$55)+Settings!$C$22,IF($B421="Shopify",Settings!$C$14*$M421+Settings!$C$15,0)))</f>
        <v/>
      </c>
      <c r="Q421" s="15">
        <f>IF($A421="","",IF(AND($B421="Etsy",$I421="Y"),MIN(Settings!$C$12*($M421+IF(Settings!$C$54="Y",0,$H421)),Settings!$C$25),0))</f>
        <v/>
      </c>
      <c r="R421" s="15">
        <f>IF($A421="","",IF(AND($B421="Etsy",$J421="Y",$L421="Y",$M421&gt;0),($O421+Settings!$C$21*$M421*(1+Settings!$C$55)+IF(Settings!$C$59="Y",$Q421,0))*$T421/$M421+IF(AND(Settings!$C$58="Y",$T421&gt;=$M421),Settings!$C$22,0),0))</f>
        <v/>
      </c>
      <c r="S421" s="15">
        <f>IF($A421="","",$N421+$O421+$P421+$Q421-$R421)</f>
        <v/>
      </c>
      <c r="T421" s="15">
        <f>IF($A421="","",IF($J421="Y",IF($K421="",$M421,MIN($K421,$M421)),0))</f>
        <v/>
      </c>
      <c r="U421" s="15">
        <f>IF($A421="","",IF($D421="",1,$D421)*IFERROR(INDEX(Products!$F$5:$F$54,MATCH($C421,Products!$A$5:$A$54,0)),0))</f>
        <v/>
      </c>
      <c r="V421" s="27">
        <f>IF($A421="","",$M421-$T421-$S421-$U421-$G421)</f>
        <v/>
      </c>
      <c r="W421" s="31">
        <f>IF($A421="","",IF($M421-$T421&gt;0,$V421/($M421-$T421),""))</f>
        <v/>
      </c>
      <c r="X421" s="35">
        <f>IF($A421="","",DATE(YEAR($A421),MONTH($A421),1))</f>
        <v/>
      </c>
    </row>
    <row r="422">
      <c r="A422" s="18" t="n"/>
      <c r="B422" s="13" t="n"/>
      <c r="C422" s="13" t="n"/>
      <c r="D422" s="26" t="n"/>
      <c r="E422" s="12" t="n"/>
      <c r="F422" s="12" t="n"/>
      <c r="G422" s="12" t="n"/>
      <c r="H422" s="12" t="n"/>
      <c r="I422" s="13" t="n"/>
      <c r="J422" s="13" t="n"/>
      <c r="K422" s="12" t="n"/>
      <c r="L422" s="13" t="n"/>
      <c r="M422" s="15">
        <f>IF($A422="","",IF($D422="",1,$D422)*$E422+$F422-$H422)</f>
        <v/>
      </c>
      <c r="N422" s="15">
        <f>IF($A422="","",IF($B422="Etsy",IF($D422="",1,$D422)*Settings!$C$19,0))</f>
        <v/>
      </c>
      <c r="O422" s="15">
        <f>IF($A422="","",IF($B422="Etsy",Settings!$C$20*($M422+IF(Settings!$C$54="Y",0,$H422)),0))</f>
        <v/>
      </c>
      <c r="P422" s="15">
        <f>IF($A422="","",IF($B422="Etsy",Settings!$C$21*$M422*(1+Settings!$C$55)+Settings!$C$22,IF($B422="Shopify",Settings!$C$14*$M422+Settings!$C$15,0)))</f>
        <v/>
      </c>
      <c r="Q422" s="15">
        <f>IF($A422="","",IF(AND($B422="Etsy",$I422="Y"),MIN(Settings!$C$12*($M422+IF(Settings!$C$54="Y",0,$H422)),Settings!$C$25),0))</f>
        <v/>
      </c>
      <c r="R422" s="15">
        <f>IF($A422="","",IF(AND($B422="Etsy",$J422="Y",$L422="Y",$M422&gt;0),($O422+Settings!$C$21*$M422*(1+Settings!$C$55)+IF(Settings!$C$59="Y",$Q422,0))*$T422/$M422+IF(AND(Settings!$C$58="Y",$T422&gt;=$M422),Settings!$C$22,0),0))</f>
        <v/>
      </c>
      <c r="S422" s="15">
        <f>IF($A422="","",$N422+$O422+$P422+$Q422-$R422)</f>
        <v/>
      </c>
      <c r="T422" s="15">
        <f>IF($A422="","",IF($J422="Y",IF($K422="",$M422,MIN($K422,$M422)),0))</f>
        <v/>
      </c>
      <c r="U422" s="15">
        <f>IF($A422="","",IF($D422="",1,$D422)*IFERROR(INDEX(Products!$F$5:$F$54,MATCH($C422,Products!$A$5:$A$54,0)),0))</f>
        <v/>
      </c>
      <c r="V422" s="27">
        <f>IF($A422="","",$M422-$T422-$S422-$U422-$G422)</f>
        <v/>
      </c>
      <c r="W422" s="31">
        <f>IF($A422="","",IF($M422-$T422&gt;0,$V422/($M422-$T422),""))</f>
        <v/>
      </c>
      <c r="X422" s="35">
        <f>IF($A422="","",DATE(YEAR($A422),MONTH($A422),1))</f>
        <v/>
      </c>
    </row>
    <row r="423">
      <c r="A423" s="18" t="n"/>
      <c r="B423" s="13" t="n"/>
      <c r="C423" s="13" t="n"/>
      <c r="D423" s="26" t="n"/>
      <c r="E423" s="12" t="n"/>
      <c r="F423" s="12" t="n"/>
      <c r="G423" s="12" t="n"/>
      <c r="H423" s="12" t="n"/>
      <c r="I423" s="13" t="n"/>
      <c r="J423" s="13" t="n"/>
      <c r="K423" s="12" t="n"/>
      <c r="L423" s="13" t="n"/>
      <c r="M423" s="15">
        <f>IF($A423="","",IF($D423="",1,$D423)*$E423+$F423-$H423)</f>
        <v/>
      </c>
      <c r="N423" s="15">
        <f>IF($A423="","",IF($B423="Etsy",IF($D423="",1,$D423)*Settings!$C$19,0))</f>
        <v/>
      </c>
      <c r="O423" s="15">
        <f>IF($A423="","",IF($B423="Etsy",Settings!$C$20*($M423+IF(Settings!$C$54="Y",0,$H423)),0))</f>
        <v/>
      </c>
      <c r="P423" s="15">
        <f>IF($A423="","",IF($B423="Etsy",Settings!$C$21*$M423*(1+Settings!$C$55)+Settings!$C$22,IF($B423="Shopify",Settings!$C$14*$M423+Settings!$C$15,0)))</f>
        <v/>
      </c>
      <c r="Q423" s="15">
        <f>IF($A423="","",IF(AND($B423="Etsy",$I423="Y"),MIN(Settings!$C$12*($M423+IF(Settings!$C$54="Y",0,$H423)),Settings!$C$25),0))</f>
        <v/>
      </c>
      <c r="R423" s="15">
        <f>IF($A423="","",IF(AND($B423="Etsy",$J423="Y",$L423="Y",$M423&gt;0),($O423+Settings!$C$21*$M423*(1+Settings!$C$55)+IF(Settings!$C$59="Y",$Q423,0))*$T423/$M423+IF(AND(Settings!$C$58="Y",$T423&gt;=$M423),Settings!$C$22,0),0))</f>
        <v/>
      </c>
      <c r="S423" s="15">
        <f>IF($A423="","",$N423+$O423+$P423+$Q423-$R423)</f>
        <v/>
      </c>
      <c r="T423" s="15">
        <f>IF($A423="","",IF($J423="Y",IF($K423="",$M423,MIN($K423,$M423)),0))</f>
        <v/>
      </c>
      <c r="U423" s="15">
        <f>IF($A423="","",IF($D423="",1,$D423)*IFERROR(INDEX(Products!$F$5:$F$54,MATCH($C423,Products!$A$5:$A$54,0)),0))</f>
        <v/>
      </c>
      <c r="V423" s="27">
        <f>IF($A423="","",$M423-$T423-$S423-$U423-$G423)</f>
        <v/>
      </c>
      <c r="W423" s="31">
        <f>IF($A423="","",IF($M423-$T423&gt;0,$V423/($M423-$T423),""))</f>
        <v/>
      </c>
      <c r="X423" s="35">
        <f>IF($A423="","",DATE(YEAR($A423),MONTH($A423),1))</f>
        <v/>
      </c>
    </row>
    <row r="424">
      <c r="A424" s="18" t="n"/>
      <c r="B424" s="13" t="n"/>
      <c r="C424" s="13" t="n"/>
      <c r="D424" s="26" t="n"/>
      <c r="E424" s="12" t="n"/>
      <c r="F424" s="12" t="n"/>
      <c r="G424" s="12" t="n"/>
      <c r="H424" s="12" t="n"/>
      <c r="I424" s="13" t="n"/>
      <c r="J424" s="13" t="n"/>
      <c r="K424" s="12" t="n"/>
      <c r="L424" s="13" t="n"/>
      <c r="M424" s="15">
        <f>IF($A424="","",IF($D424="",1,$D424)*$E424+$F424-$H424)</f>
        <v/>
      </c>
      <c r="N424" s="15">
        <f>IF($A424="","",IF($B424="Etsy",IF($D424="",1,$D424)*Settings!$C$19,0))</f>
        <v/>
      </c>
      <c r="O424" s="15">
        <f>IF($A424="","",IF($B424="Etsy",Settings!$C$20*($M424+IF(Settings!$C$54="Y",0,$H424)),0))</f>
        <v/>
      </c>
      <c r="P424" s="15">
        <f>IF($A424="","",IF($B424="Etsy",Settings!$C$21*$M424*(1+Settings!$C$55)+Settings!$C$22,IF($B424="Shopify",Settings!$C$14*$M424+Settings!$C$15,0)))</f>
        <v/>
      </c>
      <c r="Q424" s="15">
        <f>IF($A424="","",IF(AND($B424="Etsy",$I424="Y"),MIN(Settings!$C$12*($M424+IF(Settings!$C$54="Y",0,$H424)),Settings!$C$25),0))</f>
        <v/>
      </c>
      <c r="R424" s="15">
        <f>IF($A424="","",IF(AND($B424="Etsy",$J424="Y",$L424="Y",$M424&gt;0),($O424+Settings!$C$21*$M424*(1+Settings!$C$55)+IF(Settings!$C$59="Y",$Q424,0))*$T424/$M424+IF(AND(Settings!$C$58="Y",$T424&gt;=$M424),Settings!$C$22,0),0))</f>
        <v/>
      </c>
      <c r="S424" s="15">
        <f>IF($A424="","",$N424+$O424+$P424+$Q424-$R424)</f>
        <v/>
      </c>
      <c r="T424" s="15">
        <f>IF($A424="","",IF($J424="Y",IF($K424="",$M424,MIN($K424,$M424)),0))</f>
        <v/>
      </c>
      <c r="U424" s="15">
        <f>IF($A424="","",IF($D424="",1,$D424)*IFERROR(INDEX(Products!$F$5:$F$54,MATCH($C424,Products!$A$5:$A$54,0)),0))</f>
        <v/>
      </c>
      <c r="V424" s="27">
        <f>IF($A424="","",$M424-$T424-$S424-$U424-$G424)</f>
        <v/>
      </c>
      <c r="W424" s="31">
        <f>IF($A424="","",IF($M424-$T424&gt;0,$V424/($M424-$T424),""))</f>
        <v/>
      </c>
      <c r="X424" s="35">
        <f>IF($A424="","",DATE(YEAR($A424),MONTH($A424),1))</f>
        <v/>
      </c>
    </row>
    <row r="425">
      <c r="A425" s="18" t="n"/>
      <c r="B425" s="13" t="n"/>
      <c r="C425" s="13" t="n"/>
      <c r="D425" s="26" t="n"/>
      <c r="E425" s="12" t="n"/>
      <c r="F425" s="12" t="n"/>
      <c r="G425" s="12" t="n"/>
      <c r="H425" s="12" t="n"/>
      <c r="I425" s="13" t="n"/>
      <c r="J425" s="13" t="n"/>
      <c r="K425" s="12" t="n"/>
      <c r="L425" s="13" t="n"/>
      <c r="M425" s="15">
        <f>IF($A425="","",IF($D425="",1,$D425)*$E425+$F425-$H425)</f>
        <v/>
      </c>
      <c r="N425" s="15">
        <f>IF($A425="","",IF($B425="Etsy",IF($D425="",1,$D425)*Settings!$C$19,0))</f>
        <v/>
      </c>
      <c r="O425" s="15">
        <f>IF($A425="","",IF($B425="Etsy",Settings!$C$20*($M425+IF(Settings!$C$54="Y",0,$H425)),0))</f>
        <v/>
      </c>
      <c r="P425" s="15">
        <f>IF($A425="","",IF($B425="Etsy",Settings!$C$21*$M425*(1+Settings!$C$55)+Settings!$C$22,IF($B425="Shopify",Settings!$C$14*$M425+Settings!$C$15,0)))</f>
        <v/>
      </c>
      <c r="Q425" s="15">
        <f>IF($A425="","",IF(AND($B425="Etsy",$I425="Y"),MIN(Settings!$C$12*($M425+IF(Settings!$C$54="Y",0,$H425)),Settings!$C$25),0))</f>
        <v/>
      </c>
      <c r="R425" s="15">
        <f>IF($A425="","",IF(AND($B425="Etsy",$J425="Y",$L425="Y",$M425&gt;0),($O425+Settings!$C$21*$M425*(1+Settings!$C$55)+IF(Settings!$C$59="Y",$Q425,0))*$T425/$M425+IF(AND(Settings!$C$58="Y",$T425&gt;=$M425),Settings!$C$22,0),0))</f>
        <v/>
      </c>
      <c r="S425" s="15">
        <f>IF($A425="","",$N425+$O425+$P425+$Q425-$R425)</f>
        <v/>
      </c>
      <c r="T425" s="15">
        <f>IF($A425="","",IF($J425="Y",IF($K425="",$M425,MIN($K425,$M425)),0))</f>
        <v/>
      </c>
      <c r="U425" s="15">
        <f>IF($A425="","",IF($D425="",1,$D425)*IFERROR(INDEX(Products!$F$5:$F$54,MATCH($C425,Products!$A$5:$A$54,0)),0))</f>
        <v/>
      </c>
      <c r="V425" s="27">
        <f>IF($A425="","",$M425-$T425-$S425-$U425-$G425)</f>
        <v/>
      </c>
      <c r="W425" s="31">
        <f>IF($A425="","",IF($M425-$T425&gt;0,$V425/($M425-$T425),""))</f>
        <v/>
      </c>
      <c r="X425" s="35">
        <f>IF($A425="","",DATE(YEAR($A425),MONTH($A425),1))</f>
        <v/>
      </c>
    </row>
    <row r="426">
      <c r="A426" s="18" t="n"/>
      <c r="B426" s="13" t="n"/>
      <c r="C426" s="13" t="n"/>
      <c r="D426" s="26" t="n"/>
      <c r="E426" s="12" t="n"/>
      <c r="F426" s="12" t="n"/>
      <c r="G426" s="12" t="n"/>
      <c r="H426" s="12" t="n"/>
      <c r="I426" s="13" t="n"/>
      <c r="J426" s="13" t="n"/>
      <c r="K426" s="12" t="n"/>
      <c r="L426" s="13" t="n"/>
      <c r="M426" s="15">
        <f>IF($A426="","",IF($D426="",1,$D426)*$E426+$F426-$H426)</f>
        <v/>
      </c>
      <c r="N426" s="15">
        <f>IF($A426="","",IF($B426="Etsy",IF($D426="",1,$D426)*Settings!$C$19,0))</f>
        <v/>
      </c>
      <c r="O426" s="15">
        <f>IF($A426="","",IF($B426="Etsy",Settings!$C$20*($M426+IF(Settings!$C$54="Y",0,$H426)),0))</f>
        <v/>
      </c>
      <c r="P426" s="15">
        <f>IF($A426="","",IF($B426="Etsy",Settings!$C$21*$M426*(1+Settings!$C$55)+Settings!$C$22,IF($B426="Shopify",Settings!$C$14*$M426+Settings!$C$15,0)))</f>
        <v/>
      </c>
      <c r="Q426" s="15">
        <f>IF($A426="","",IF(AND($B426="Etsy",$I426="Y"),MIN(Settings!$C$12*($M426+IF(Settings!$C$54="Y",0,$H426)),Settings!$C$25),0))</f>
        <v/>
      </c>
      <c r="R426" s="15">
        <f>IF($A426="","",IF(AND($B426="Etsy",$J426="Y",$L426="Y",$M426&gt;0),($O426+Settings!$C$21*$M426*(1+Settings!$C$55)+IF(Settings!$C$59="Y",$Q426,0))*$T426/$M426+IF(AND(Settings!$C$58="Y",$T426&gt;=$M426),Settings!$C$22,0),0))</f>
        <v/>
      </c>
      <c r="S426" s="15">
        <f>IF($A426="","",$N426+$O426+$P426+$Q426-$R426)</f>
        <v/>
      </c>
      <c r="T426" s="15">
        <f>IF($A426="","",IF($J426="Y",IF($K426="",$M426,MIN($K426,$M426)),0))</f>
        <v/>
      </c>
      <c r="U426" s="15">
        <f>IF($A426="","",IF($D426="",1,$D426)*IFERROR(INDEX(Products!$F$5:$F$54,MATCH($C426,Products!$A$5:$A$54,0)),0))</f>
        <v/>
      </c>
      <c r="V426" s="27">
        <f>IF($A426="","",$M426-$T426-$S426-$U426-$G426)</f>
        <v/>
      </c>
      <c r="W426" s="31">
        <f>IF($A426="","",IF($M426-$T426&gt;0,$V426/($M426-$T426),""))</f>
        <v/>
      </c>
      <c r="X426" s="35">
        <f>IF($A426="","",DATE(YEAR($A426),MONTH($A426),1))</f>
        <v/>
      </c>
    </row>
    <row r="427">
      <c r="A427" s="18" t="n"/>
      <c r="B427" s="13" t="n"/>
      <c r="C427" s="13" t="n"/>
      <c r="D427" s="26" t="n"/>
      <c r="E427" s="12" t="n"/>
      <c r="F427" s="12" t="n"/>
      <c r="G427" s="12" t="n"/>
      <c r="H427" s="12" t="n"/>
      <c r="I427" s="13" t="n"/>
      <c r="J427" s="13" t="n"/>
      <c r="K427" s="12" t="n"/>
      <c r="L427" s="13" t="n"/>
      <c r="M427" s="15">
        <f>IF($A427="","",IF($D427="",1,$D427)*$E427+$F427-$H427)</f>
        <v/>
      </c>
      <c r="N427" s="15">
        <f>IF($A427="","",IF($B427="Etsy",IF($D427="",1,$D427)*Settings!$C$19,0))</f>
        <v/>
      </c>
      <c r="O427" s="15">
        <f>IF($A427="","",IF($B427="Etsy",Settings!$C$20*($M427+IF(Settings!$C$54="Y",0,$H427)),0))</f>
        <v/>
      </c>
      <c r="P427" s="15">
        <f>IF($A427="","",IF($B427="Etsy",Settings!$C$21*$M427*(1+Settings!$C$55)+Settings!$C$22,IF($B427="Shopify",Settings!$C$14*$M427+Settings!$C$15,0)))</f>
        <v/>
      </c>
      <c r="Q427" s="15">
        <f>IF($A427="","",IF(AND($B427="Etsy",$I427="Y"),MIN(Settings!$C$12*($M427+IF(Settings!$C$54="Y",0,$H427)),Settings!$C$25),0))</f>
        <v/>
      </c>
      <c r="R427" s="15">
        <f>IF($A427="","",IF(AND($B427="Etsy",$J427="Y",$L427="Y",$M427&gt;0),($O427+Settings!$C$21*$M427*(1+Settings!$C$55)+IF(Settings!$C$59="Y",$Q427,0))*$T427/$M427+IF(AND(Settings!$C$58="Y",$T427&gt;=$M427),Settings!$C$22,0),0))</f>
        <v/>
      </c>
      <c r="S427" s="15">
        <f>IF($A427="","",$N427+$O427+$P427+$Q427-$R427)</f>
        <v/>
      </c>
      <c r="T427" s="15">
        <f>IF($A427="","",IF($J427="Y",IF($K427="",$M427,MIN($K427,$M427)),0))</f>
        <v/>
      </c>
      <c r="U427" s="15">
        <f>IF($A427="","",IF($D427="",1,$D427)*IFERROR(INDEX(Products!$F$5:$F$54,MATCH($C427,Products!$A$5:$A$54,0)),0))</f>
        <v/>
      </c>
      <c r="V427" s="27">
        <f>IF($A427="","",$M427-$T427-$S427-$U427-$G427)</f>
        <v/>
      </c>
      <c r="W427" s="31">
        <f>IF($A427="","",IF($M427-$T427&gt;0,$V427/($M427-$T427),""))</f>
        <v/>
      </c>
      <c r="X427" s="35">
        <f>IF($A427="","",DATE(YEAR($A427),MONTH($A427),1))</f>
        <v/>
      </c>
    </row>
    <row r="428">
      <c r="A428" s="18" t="n"/>
      <c r="B428" s="13" t="n"/>
      <c r="C428" s="13" t="n"/>
      <c r="D428" s="26" t="n"/>
      <c r="E428" s="12" t="n"/>
      <c r="F428" s="12" t="n"/>
      <c r="G428" s="12" t="n"/>
      <c r="H428" s="12" t="n"/>
      <c r="I428" s="13" t="n"/>
      <c r="J428" s="13" t="n"/>
      <c r="K428" s="12" t="n"/>
      <c r="L428" s="13" t="n"/>
      <c r="M428" s="15">
        <f>IF($A428="","",IF($D428="",1,$D428)*$E428+$F428-$H428)</f>
        <v/>
      </c>
      <c r="N428" s="15">
        <f>IF($A428="","",IF($B428="Etsy",IF($D428="",1,$D428)*Settings!$C$19,0))</f>
        <v/>
      </c>
      <c r="O428" s="15">
        <f>IF($A428="","",IF($B428="Etsy",Settings!$C$20*($M428+IF(Settings!$C$54="Y",0,$H428)),0))</f>
        <v/>
      </c>
      <c r="P428" s="15">
        <f>IF($A428="","",IF($B428="Etsy",Settings!$C$21*$M428*(1+Settings!$C$55)+Settings!$C$22,IF($B428="Shopify",Settings!$C$14*$M428+Settings!$C$15,0)))</f>
        <v/>
      </c>
      <c r="Q428" s="15">
        <f>IF($A428="","",IF(AND($B428="Etsy",$I428="Y"),MIN(Settings!$C$12*($M428+IF(Settings!$C$54="Y",0,$H428)),Settings!$C$25),0))</f>
        <v/>
      </c>
      <c r="R428" s="15">
        <f>IF($A428="","",IF(AND($B428="Etsy",$J428="Y",$L428="Y",$M428&gt;0),($O428+Settings!$C$21*$M428*(1+Settings!$C$55)+IF(Settings!$C$59="Y",$Q428,0))*$T428/$M428+IF(AND(Settings!$C$58="Y",$T428&gt;=$M428),Settings!$C$22,0),0))</f>
        <v/>
      </c>
      <c r="S428" s="15">
        <f>IF($A428="","",$N428+$O428+$P428+$Q428-$R428)</f>
        <v/>
      </c>
      <c r="T428" s="15">
        <f>IF($A428="","",IF($J428="Y",IF($K428="",$M428,MIN($K428,$M428)),0))</f>
        <v/>
      </c>
      <c r="U428" s="15">
        <f>IF($A428="","",IF($D428="",1,$D428)*IFERROR(INDEX(Products!$F$5:$F$54,MATCH($C428,Products!$A$5:$A$54,0)),0))</f>
        <v/>
      </c>
      <c r="V428" s="27">
        <f>IF($A428="","",$M428-$T428-$S428-$U428-$G428)</f>
        <v/>
      </c>
      <c r="W428" s="31">
        <f>IF($A428="","",IF($M428-$T428&gt;0,$V428/($M428-$T428),""))</f>
        <v/>
      </c>
      <c r="X428" s="35">
        <f>IF($A428="","",DATE(YEAR($A428),MONTH($A428),1))</f>
        <v/>
      </c>
    </row>
    <row r="429">
      <c r="A429" s="18" t="n"/>
      <c r="B429" s="13" t="n"/>
      <c r="C429" s="13" t="n"/>
      <c r="D429" s="26" t="n"/>
      <c r="E429" s="12" t="n"/>
      <c r="F429" s="12" t="n"/>
      <c r="G429" s="12" t="n"/>
      <c r="H429" s="12" t="n"/>
      <c r="I429" s="13" t="n"/>
      <c r="J429" s="13" t="n"/>
      <c r="K429" s="12" t="n"/>
      <c r="L429" s="13" t="n"/>
      <c r="M429" s="15">
        <f>IF($A429="","",IF($D429="",1,$D429)*$E429+$F429-$H429)</f>
        <v/>
      </c>
      <c r="N429" s="15">
        <f>IF($A429="","",IF($B429="Etsy",IF($D429="",1,$D429)*Settings!$C$19,0))</f>
        <v/>
      </c>
      <c r="O429" s="15">
        <f>IF($A429="","",IF($B429="Etsy",Settings!$C$20*($M429+IF(Settings!$C$54="Y",0,$H429)),0))</f>
        <v/>
      </c>
      <c r="P429" s="15">
        <f>IF($A429="","",IF($B429="Etsy",Settings!$C$21*$M429*(1+Settings!$C$55)+Settings!$C$22,IF($B429="Shopify",Settings!$C$14*$M429+Settings!$C$15,0)))</f>
        <v/>
      </c>
      <c r="Q429" s="15">
        <f>IF($A429="","",IF(AND($B429="Etsy",$I429="Y"),MIN(Settings!$C$12*($M429+IF(Settings!$C$54="Y",0,$H429)),Settings!$C$25),0))</f>
        <v/>
      </c>
      <c r="R429" s="15">
        <f>IF($A429="","",IF(AND($B429="Etsy",$J429="Y",$L429="Y",$M429&gt;0),($O429+Settings!$C$21*$M429*(1+Settings!$C$55)+IF(Settings!$C$59="Y",$Q429,0))*$T429/$M429+IF(AND(Settings!$C$58="Y",$T429&gt;=$M429),Settings!$C$22,0),0))</f>
        <v/>
      </c>
      <c r="S429" s="15">
        <f>IF($A429="","",$N429+$O429+$P429+$Q429-$R429)</f>
        <v/>
      </c>
      <c r="T429" s="15">
        <f>IF($A429="","",IF($J429="Y",IF($K429="",$M429,MIN($K429,$M429)),0))</f>
        <v/>
      </c>
      <c r="U429" s="15">
        <f>IF($A429="","",IF($D429="",1,$D429)*IFERROR(INDEX(Products!$F$5:$F$54,MATCH($C429,Products!$A$5:$A$54,0)),0))</f>
        <v/>
      </c>
      <c r="V429" s="27">
        <f>IF($A429="","",$M429-$T429-$S429-$U429-$G429)</f>
        <v/>
      </c>
      <c r="W429" s="31">
        <f>IF($A429="","",IF($M429-$T429&gt;0,$V429/($M429-$T429),""))</f>
        <v/>
      </c>
      <c r="X429" s="35">
        <f>IF($A429="","",DATE(YEAR($A429),MONTH($A429),1))</f>
        <v/>
      </c>
    </row>
    <row r="430">
      <c r="A430" s="18" t="n"/>
      <c r="B430" s="13" t="n"/>
      <c r="C430" s="13" t="n"/>
      <c r="D430" s="26" t="n"/>
      <c r="E430" s="12" t="n"/>
      <c r="F430" s="12" t="n"/>
      <c r="G430" s="12" t="n"/>
      <c r="H430" s="12" t="n"/>
      <c r="I430" s="13" t="n"/>
      <c r="J430" s="13" t="n"/>
      <c r="K430" s="12" t="n"/>
      <c r="L430" s="13" t="n"/>
      <c r="M430" s="15">
        <f>IF($A430="","",IF($D430="",1,$D430)*$E430+$F430-$H430)</f>
        <v/>
      </c>
      <c r="N430" s="15">
        <f>IF($A430="","",IF($B430="Etsy",IF($D430="",1,$D430)*Settings!$C$19,0))</f>
        <v/>
      </c>
      <c r="O430" s="15">
        <f>IF($A430="","",IF($B430="Etsy",Settings!$C$20*($M430+IF(Settings!$C$54="Y",0,$H430)),0))</f>
        <v/>
      </c>
      <c r="P430" s="15">
        <f>IF($A430="","",IF($B430="Etsy",Settings!$C$21*$M430*(1+Settings!$C$55)+Settings!$C$22,IF($B430="Shopify",Settings!$C$14*$M430+Settings!$C$15,0)))</f>
        <v/>
      </c>
      <c r="Q430" s="15">
        <f>IF($A430="","",IF(AND($B430="Etsy",$I430="Y"),MIN(Settings!$C$12*($M430+IF(Settings!$C$54="Y",0,$H430)),Settings!$C$25),0))</f>
        <v/>
      </c>
      <c r="R430" s="15">
        <f>IF($A430="","",IF(AND($B430="Etsy",$J430="Y",$L430="Y",$M430&gt;0),($O430+Settings!$C$21*$M430*(1+Settings!$C$55)+IF(Settings!$C$59="Y",$Q430,0))*$T430/$M430+IF(AND(Settings!$C$58="Y",$T430&gt;=$M430),Settings!$C$22,0),0))</f>
        <v/>
      </c>
      <c r="S430" s="15">
        <f>IF($A430="","",$N430+$O430+$P430+$Q430-$R430)</f>
        <v/>
      </c>
      <c r="T430" s="15">
        <f>IF($A430="","",IF($J430="Y",IF($K430="",$M430,MIN($K430,$M430)),0))</f>
        <v/>
      </c>
      <c r="U430" s="15">
        <f>IF($A430="","",IF($D430="",1,$D430)*IFERROR(INDEX(Products!$F$5:$F$54,MATCH($C430,Products!$A$5:$A$54,0)),0))</f>
        <v/>
      </c>
      <c r="V430" s="27">
        <f>IF($A430="","",$M430-$T430-$S430-$U430-$G430)</f>
        <v/>
      </c>
      <c r="W430" s="31">
        <f>IF($A430="","",IF($M430-$T430&gt;0,$V430/($M430-$T430),""))</f>
        <v/>
      </c>
      <c r="X430" s="35">
        <f>IF($A430="","",DATE(YEAR($A430),MONTH($A430),1))</f>
        <v/>
      </c>
    </row>
    <row r="431">
      <c r="A431" s="18" t="n"/>
      <c r="B431" s="13" t="n"/>
      <c r="C431" s="13" t="n"/>
      <c r="D431" s="26" t="n"/>
      <c r="E431" s="12" t="n"/>
      <c r="F431" s="12" t="n"/>
      <c r="G431" s="12" t="n"/>
      <c r="H431" s="12" t="n"/>
      <c r="I431" s="13" t="n"/>
      <c r="J431" s="13" t="n"/>
      <c r="K431" s="12" t="n"/>
      <c r="L431" s="13" t="n"/>
      <c r="M431" s="15">
        <f>IF($A431="","",IF($D431="",1,$D431)*$E431+$F431-$H431)</f>
        <v/>
      </c>
      <c r="N431" s="15">
        <f>IF($A431="","",IF($B431="Etsy",IF($D431="",1,$D431)*Settings!$C$19,0))</f>
        <v/>
      </c>
      <c r="O431" s="15">
        <f>IF($A431="","",IF($B431="Etsy",Settings!$C$20*($M431+IF(Settings!$C$54="Y",0,$H431)),0))</f>
        <v/>
      </c>
      <c r="P431" s="15">
        <f>IF($A431="","",IF($B431="Etsy",Settings!$C$21*$M431*(1+Settings!$C$55)+Settings!$C$22,IF($B431="Shopify",Settings!$C$14*$M431+Settings!$C$15,0)))</f>
        <v/>
      </c>
      <c r="Q431" s="15">
        <f>IF($A431="","",IF(AND($B431="Etsy",$I431="Y"),MIN(Settings!$C$12*($M431+IF(Settings!$C$54="Y",0,$H431)),Settings!$C$25),0))</f>
        <v/>
      </c>
      <c r="R431" s="15">
        <f>IF($A431="","",IF(AND($B431="Etsy",$J431="Y",$L431="Y",$M431&gt;0),($O431+Settings!$C$21*$M431*(1+Settings!$C$55)+IF(Settings!$C$59="Y",$Q431,0))*$T431/$M431+IF(AND(Settings!$C$58="Y",$T431&gt;=$M431),Settings!$C$22,0),0))</f>
        <v/>
      </c>
      <c r="S431" s="15">
        <f>IF($A431="","",$N431+$O431+$P431+$Q431-$R431)</f>
        <v/>
      </c>
      <c r="T431" s="15">
        <f>IF($A431="","",IF($J431="Y",IF($K431="",$M431,MIN($K431,$M431)),0))</f>
        <v/>
      </c>
      <c r="U431" s="15">
        <f>IF($A431="","",IF($D431="",1,$D431)*IFERROR(INDEX(Products!$F$5:$F$54,MATCH($C431,Products!$A$5:$A$54,0)),0))</f>
        <v/>
      </c>
      <c r="V431" s="27">
        <f>IF($A431="","",$M431-$T431-$S431-$U431-$G431)</f>
        <v/>
      </c>
      <c r="W431" s="31">
        <f>IF($A431="","",IF($M431-$T431&gt;0,$V431/($M431-$T431),""))</f>
        <v/>
      </c>
      <c r="X431" s="35">
        <f>IF($A431="","",DATE(YEAR($A431),MONTH($A431),1))</f>
        <v/>
      </c>
    </row>
    <row r="432">
      <c r="A432" s="18" t="n"/>
      <c r="B432" s="13" t="n"/>
      <c r="C432" s="13" t="n"/>
      <c r="D432" s="26" t="n"/>
      <c r="E432" s="12" t="n"/>
      <c r="F432" s="12" t="n"/>
      <c r="G432" s="12" t="n"/>
      <c r="H432" s="12" t="n"/>
      <c r="I432" s="13" t="n"/>
      <c r="J432" s="13" t="n"/>
      <c r="K432" s="12" t="n"/>
      <c r="L432" s="13" t="n"/>
      <c r="M432" s="15">
        <f>IF($A432="","",IF($D432="",1,$D432)*$E432+$F432-$H432)</f>
        <v/>
      </c>
      <c r="N432" s="15">
        <f>IF($A432="","",IF($B432="Etsy",IF($D432="",1,$D432)*Settings!$C$19,0))</f>
        <v/>
      </c>
      <c r="O432" s="15">
        <f>IF($A432="","",IF($B432="Etsy",Settings!$C$20*($M432+IF(Settings!$C$54="Y",0,$H432)),0))</f>
        <v/>
      </c>
      <c r="P432" s="15">
        <f>IF($A432="","",IF($B432="Etsy",Settings!$C$21*$M432*(1+Settings!$C$55)+Settings!$C$22,IF($B432="Shopify",Settings!$C$14*$M432+Settings!$C$15,0)))</f>
        <v/>
      </c>
      <c r="Q432" s="15">
        <f>IF($A432="","",IF(AND($B432="Etsy",$I432="Y"),MIN(Settings!$C$12*($M432+IF(Settings!$C$54="Y",0,$H432)),Settings!$C$25),0))</f>
        <v/>
      </c>
      <c r="R432" s="15">
        <f>IF($A432="","",IF(AND($B432="Etsy",$J432="Y",$L432="Y",$M432&gt;0),($O432+Settings!$C$21*$M432*(1+Settings!$C$55)+IF(Settings!$C$59="Y",$Q432,0))*$T432/$M432+IF(AND(Settings!$C$58="Y",$T432&gt;=$M432),Settings!$C$22,0),0))</f>
        <v/>
      </c>
      <c r="S432" s="15">
        <f>IF($A432="","",$N432+$O432+$P432+$Q432-$R432)</f>
        <v/>
      </c>
      <c r="T432" s="15">
        <f>IF($A432="","",IF($J432="Y",IF($K432="",$M432,MIN($K432,$M432)),0))</f>
        <v/>
      </c>
      <c r="U432" s="15">
        <f>IF($A432="","",IF($D432="",1,$D432)*IFERROR(INDEX(Products!$F$5:$F$54,MATCH($C432,Products!$A$5:$A$54,0)),0))</f>
        <v/>
      </c>
      <c r="V432" s="27">
        <f>IF($A432="","",$M432-$T432-$S432-$U432-$G432)</f>
        <v/>
      </c>
      <c r="W432" s="31">
        <f>IF($A432="","",IF($M432-$T432&gt;0,$V432/($M432-$T432),""))</f>
        <v/>
      </c>
      <c r="X432" s="35">
        <f>IF($A432="","",DATE(YEAR($A432),MONTH($A432),1))</f>
        <v/>
      </c>
    </row>
    <row r="433">
      <c r="A433" s="18" t="n"/>
      <c r="B433" s="13" t="n"/>
      <c r="C433" s="13" t="n"/>
      <c r="D433" s="26" t="n"/>
      <c r="E433" s="12" t="n"/>
      <c r="F433" s="12" t="n"/>
      <c r="G433" s="12" t="n"/>
      <c r="H433" s="12" t="n"/>
      <c r="I433" s="13" t="n"/>
      <c r="J433" s="13" t="n"/>
      <c r="K433" s="12" t="n"/>
      <c r="L433" s="13" t="n"/>
      <c r="M433" s="15">
        <f>IF($A433="","",IF($D433="",1,$D433)*$E433+$F433-$H433)</f>
        <v/>
      </c>
      <c r="N433" s="15">
        <f>IF($A433="","",IF($B433="Etsy",IF($D433="",1,$D433)*Settings!$C$19,0))</f>
        <v/>
      </c>
      <c r="O433" s="15">
        <f>IF($A433="","",IF($B433="Etsy",Settings!$C$20*($M433+IF(Settings!$C$54="Y",0,$H433)),0))</f>
        <v/>
      </c>
      <c r="P433" s="15">
        <f>IF($A433="","",IF($B433="Etsy",Settings!$C$21*$M433*(1+Settings!$C$55)+Settings!$C$22,IF($B433="Shopify",Settings!$C$14*$M433+Settings!$C$15,0)))</f>
        <v/>
      </c>
      <c r="Q433" s="15">
        <f>IF($A433="","",IF(AND($B433="Etsy",$I433="Y"),MIN(Settings!$C$12*($M433+IF(Settings!$C$54="Y",0,$H433)),Settings!$C$25),0))</f>
        <v/>
      </c>
      <c r="R433" s="15">
        <f>IF($A433="","",IF(AND($B433="Etsy",$J433="Y",$L433="Y",$M433&gt;0),($O433+Settings!$C$21*$M433*(1+Settings!$C$55)+IF(Settings!$C$59="Y",$Q433,0))*$T433/$M433+IF(AND(Settings!$C$58="Y",$T433&gt;=$M433),Settings!$C$22,0),0))</f>
        <v/>
      </c>
      <c r="S433" s="15">
        <f>IF($A433="","",$N433+$O433+$P433+$Q433-$R433)</f>
        <v/>
      </c>
      <c r="T433" s="15">
        <f>IF($A433="","",IF($J433="Y",IF($K433="",$M433,MIN($K433,$M433)),0))</f>
        <v/>
      </c>
      <c r="U433" s="15">
        <f>IF($A433="","",IF($D433="",1,$D433)*IFERROR(INDEX(Products!$F$5:$F$54,MATCH($C433,Products!$A$5:$A$54,0)),0))</f>
        <v/>
      </c>
      <c r="V433" s="27">
        <f>IF($A433="","",$M433-$T433-$S433-$U433-$G433)</f>
        <v/>
      </c>
      <c r="W433" s="31">
        <f>IF($A433="","",IF($M433-$T433&gt;0,$V433/($M433-$T433),""))</f>
        <v/>
      </c>
      <c r="X433" s="35">
        <f>IF($A433="","",DATE(YEAR($A433),MONTH($A433),1))</f>
        <v/>
      </c>
    </row>
    <row r="434">
      <c r="A434" s="18" t="n"/>
      <c r="B434" s="13" t="n"/>
      <c r="C434" s="13" t="n"/>
      <c r="D434" s="26" t="n"/>
      <c r="E434" s="12" t="n"/>
      <c r="F434" s="12" t="n"/>
      <c r="G434" s="12" t="n"/>
      <c r="H434" s="12" t="n"/>
      <c r="I434" s="13" t="n"/>
      <c r="J434" s="13" t="n"/>
      <c r="K434" s="12" t="n"/>
      <c r="L434" s="13" t="n"/>
      <c r="M434" s="15">
        <f>IF($A434="","",IF($D434="",1,$D434)*$E434+$F434-$H434)</f>
        <v/>
      </c>
      <c r="N434" s="15">
        <f>IF($A434="","",IF($B434="Etsy",IF($D434="",1,$D434)*Settings!$C$19,0))</f>
        <v/>
      </c>
      <c r="O434" s="15">
        <f>IF($A434="","",IF($B434="Etsy",Settings!$C$20*($M434+IF(Settings!$C$54="Y",0,$H434)),0))</f>
        <v/>
      </c>
      <c r="P434" s="15">
        <f>IF($A434="","",IF($B434="Etsy",Settings!$C$21*$M434*(1+Settings!$C$55)+Settings!$C$22,IF($B434="Shopify",Settings!$C$14*$M434+Settings!$C$15,0)))</f>
        <v/>
      </c>
      <c r="Q434" s="15">
        <f>IF($A434="","",IF(AND($B434="Etsy",$I434="Y"),MIN(Settings!$C$12*($M434+IF(Settings!$C$54="Y",0,$H434)),Settings!$C$25),0))</f>
        <v/>
      </c>
      <c r="R434" s="15">
        <f>IF($A434="","",IF(AND($B434="Etsy",$J434="Y",$L434="Y",$M434&gt;0),($O434+Settings!$C$21*$M434*(1+Settings!$C$55)+IF(Settings!$C$59="Y",$Q434,0))*$T434/$M434+IF(AND(Settings!$C$58="Y",$T434&gt;=$M434),Settings!$C$22,0),0))</f>
        <v/>
      </c>
      <c r="S434" s="15">
        <f>IF($A434="","",$N434+$O434+$P434+$Q434-$R434)</f>
        <v/>
      </c>
      <c r="T434" s="15">
        <f>IF($A434="","",IF($J434="Y",IF($K434="",$M434,MIN($K434,$M434)),0))</f>
        <v/>
      </c>
      <c r="U434" s="15">
        <f>IF($A434="","",IF($D434="",1,$D434)*IFERROR(INDEX(Products!$F$5:$F$54,MATCH($C434,Products!$A$5:$A$54,0)),0))</f>
        <v/>
      </c>
      <c r="V434" s="27">
        <f>IF($A434="","",$M434-$T434-$S434-$U434-$G434)</f>
        <v/>
      </c>
      <c r="W434" s="31">
        <f>IF($A434="","",IF($M434-$T434&gt;0,$V434/($M434-$T434),""))</f>
        <v/>
      </c>
      <c r="X434" s="35">
        <f>IF($A434="","",DATE(YEAR($A434),MONTH($A434),1))</f>
        <v/>
      </c>
    </row>
    <row r="435">
      <c r="A435" s="18" t="n"/>
      <c r="B435" s="13" t="n"/>
      <c r="C435" s="13" t="n"/>
      <c r="D435" s="26" t="n"/>
      <c r="E435" s="12" t="n"/>
      <c r="F435" s="12" t="n"/>
      <c r="G435" s="12" t="n"/>
      <c r="H435" s="12" t="n"/>
      <c r="I435" s="13" t="n"/>
      <c r="J435" s="13" t="n"/>
      <c r="K435" s="12" t="n"/>
      <c r="L435" s="13" t="n"/>
      <c r="M435" s="15">
        <f>IF($A435="","",IF($D435="",1,$D435)*$E435+$F435-$H435)</f>
        <v/>
      </c>
      <c r="N435" s="15">
        <f>IF($A435="","",IF($B435="Etsy",IF($D435="",1,$D435)*Settings!$C$19,0))</f>
        <v/>
      </c>
      <c r="O435" s="15">
        <f>IF($A435="","",IF($B435="Etsy",Settings!$C$20*($M435+IF(Settings!$C$54="Y",0,$H435)),0))</f>
        <v/>
      </c>
      <c r="P435" s="15">
        <f>IF($A435="","",IF($B435="Etsy",Settings!$C$21*$M435*(1+Settings!$C$55)+Settings!$C$22,IF($B435="Shopify",Settings!$C$14*$M435+Settings!$C$15,0)))</f>
        <v/>
      </c>
      <c r="Q435" s="15">
        <f>IF($A435="","",IF(AND($B435="Etsy",$I435="Y"),MIN(Settings!$C$12*($M435+IF(Settings!$C$54="Y",0,$H435)),Settings!$C$25),0))</f>
        <v/>
      </c>
      <c r="R435" s="15">
        <f>IF($A435="","",IF(AND($B435="Etsy",$J435="Y",$L435="Y",$M435&gt;0),($O435+Settings!$C$21*$M435*(1+Settings!$C$55)+IF(Settings!$C$59="Y",$Q435,0))*$T435/$M435+IF(AND(Settings!$C$58="Y",$T435&gt;=$M435),Settings!$C$22,0),0))</f>
        <v/>
      </c>
      <c r="S435" s="15">
        <f>IF($A435="","",$N435+$O435+$P435+$Q435-$R435)</f>
        <v/>
      </c>
      <c r="T435" s="15">
        <f>IF($A435="","",IF($J435="Y",IF($K435="",$M435,MIN($K435,$M435)),0))</f>
        <v/>
      </c>
      <c r="U435" s="15">
        <f>IF($A435="","",IF($D435="",1,$D435)*IFERROR(INDEX(Products!$F$5:$F$54,MATCH($C435,Products!$A$5:$A$54,0)),0))</f>
        <v/>
      </c>
      <c r="V435" s="27">
        <f>IF($A435="","",$M435-$T435-$S435-$U435-$G435)</f>
        <v/>
      </c>
      <c r="W435" s="31">
        <f>IF($A435="","",IF($M435-$T435&gt;0,$V435/($M435-$T435),""))</f>
        <v/>
      </c>
      <c r="X435" s="35">
        <f>IF($A435="","",DATE(YEAR($A435),MONTH($A435),1))</f>
        <v/>
      </c>
    </row>
    <row r="436">
      <c r="A436" s="18" t="n"/>
      <c r="B436" s="13" t="n"/>
      <c r="C436" s="13" t="n"/>
      <c r="D436" s="26" t="n"/>
      <c r="E436" s="12" t="n"/>
      <c r="F436" s="12" t="n"/>
      <c r="G436" s="12" t="n"/>
      <c r="H436" s="12" t="n"/>
      <c r="I436" s="13" t="n"/>
      <c r="J436" s="13" t="n"/>
      <c r="K436" s="12" t="n"/>
      <c r="L436" s="13" t="n"/>
      <c r="M436" s="15">
        <f>IF($A436="","",IF($D436="",1,$D436)*$E436+$F436-$H436)</f>
        <v/>
      </c>
      <c r="N436" s="15">
        <f>IF($A436="","",IF($B436="Etsy",IF($D436="",1,$D436)*Settings!$C$19,0))</f>
        <v/>
      </c>
      <c r="O436" s="15">
        <f>IF($A436="","",IF($B436="Etsy",Settings!$C$20*($M436+IF(Settings!$C$54="Y",0,$H436)),0))</f>
        <v/>
      </c>
      <c r="P436" s="15">
        <f>IF($A436="","",IF($B436="Etsy",Settings!$C$21*$M436*(1+Settings!$C$55)+Settings!$C$22,IF($B436="Shopify",Settings!$C$14*$M436+Settings!$C$15,0)))</f>
        <v/>
      </c>
      <c r="Q436" s="15">
        <f>IF($A436="","",IF(AND($B436="Etsy",$I436="Y"),MIN(Settings!$C$12*($M436+IF(Settings!$C$54="Y",0,$H436)),Settings!$C$25),0))</f>
        <v/>
      </c>
      <c r="R436" s="15">
        <f>IF($A436="","",IF(AND($B436="Etsy",$J436="Y",$L436="Y",$M436&gt;0),($O436+Settings!$C$21*$M436*(1+Settings!$C$55)+IF(Settings!$C$59="Y",$Q436,0))*$T436/$M436+IF(AND(Settings!$C$58="Y",$T436&gt;=$M436),Settings!$C$22,0),0))</f>
        <v/>
      </c>
      <c r="S436" s="15">
        <f>IF($A436="","",$N436+$O436+$P436+$Q436-$R436)</f>
        <v/>
      </c>
      <c r="T436" s="15">
        <f>IF($A436="","",IF($J436="Y",IF($K436="",$M436,MIN($K436,$M436)),0))</f>
        <v/>
      </c>
      <c r="U436" s="15">
        <f>IF($A436="","",IF($D436="",1,$D436)*IFERROR(INDEX(Products!$F$5:$F$54,MATCH($C436,Products!$A$5:$A$54,0)),0))</f>
        <v/>
      </c>
      <c r="V436" s="27">
        <f>IF($A436="","",$M436-$T436-$S436-$U436-$G436)</f>
        <v/>
      </c>
      <c r="W436" s="31">
        <f>IF($A436="","",IF($M436-$T436&gt;0,$V436/($M436-$T436),""))</f>
        <v/>
      </c>
      <c r="X436" s="35">
        <f>IF($A436="","",DATE(YEAR($A436),MONTH($A436),1))</f>
        <v/>
      </c>
    </row>
    <row r="437">
      <c r="A437" s="18" t="n"/>
      <c r="B437" s="13" t="n"/>
      <c r="C437" s="13" t="n"/>
      <c r="D437" s="26" t="n"/>
      <c r="E437" s="12" t="n"/>
      <c r="F437" s="12" t="n"/>
      <c r="G437" s="12" t="n"/>
      <c r="H437" s="12" t="n"/>
      <c r="I437" s="13" t="n"/>
      <c r="J437" s="13" t="n"/>
      <c r="K437" s="12" t="n"/>
      <c r="L437" s="13" t="n"/>
      <c r="M437" s="15">
        <f>IF($A437="","",IF($D437="",1,$D437)*$E437+$F437-$H437)</f>
        <v/>
      </c>
      <c r="N437" s="15">
        <f>IF($A437="","",IF($B437="Etsy",IF($D437="",1,$D437)*Settings!$C$19,0))</f>
        <v/>
      </c>
      <c r="O437" s="15">
        <f>IF($A437="","",IF($B437="Etsy",Settings!$C$20*($M437+IF(Settings!$C$54="Y",0,$H437)),0))</f>
        <v/>
      </c>
      <c r="P437" s="15">
        <f>IF($A437="","",IF($B437="Etsy",Settings!$C$21*$M437*(1+Settings!$C$55)+Settings!$C$22,IF($B437="Shopify",Settings!$C$14*$M437+Settings!$C$15,0)))</f>
        <v/>
      </c>
      <c r="Q437" s="15">
        <f>IF($A437="","",IF(AND($B437="Etsy",$I437="Y"),MIN(Settings!$C$12*($M437+IF(Settings!$C$54="Y",0,$H437)),Settings!$C$25),0))</f>
        <v/>
      </c>
      <c r="R437" s="15">
        <f>IF($A437="","",IF(AND($B437="Etsy",$J437="Y",$L437="Y",$M437&gt;0),($O437+Settings!$C$21*$M437*(1+Settings!$C$55)+IF(Settings!$C$59="Y",$Q437,0))*$T437/$M437+IF(AND(Settings!$C$58="Y",$T437&gt;=$M437),Settings!$C$22,0),0))</f>
        <v/>
      </c>
      <c r="S437" s="15">
        <f>IF($A437="","",$N437+$O437+$P437+$Q437-$R437)</f>
        <v/>
      </c>
      <c r="T437" s="15">
        <f>IF($A437="","",IF($J437="Y",IF($K437="",$M437,MIN($K437,$M437)),0))</f>
        <v/>
      </c>
      <c r="U437" s="15">
        <f>IF($A437="","",IF($D437="",1,$D437)*IFERROR(INDEX(Products!$F$5:$F$54,MATCH($C437,Products!$A$5:$A$54,0)),0))</f>
        <v/>
      </c>
      <c r="V437" s="27">
        <f>IF($A437="","",$M437-$T437-$S437-$U437-$G437)</f>
        <v/>
      </c>
      <c r="W437" s="31">
        <f>IF($A437="","",IF($M437-$T437&gt;0,$V437/($M437-$T437),""))</f>
        <v/>
      </c>
      <c r="X437" s="35">
        <f>IF($A437="","",DATE(YEAR($A437),MONTH($A437),1))</f>
        <v/>
      </c>
    </row>
    <row r="438">
      <c r="A438" s="18" t="n"/>
      <c r="B438" s="13" t="n"/>
      <c r="C438" s="13" t="n"/>
      <c r="D438" s="26" t="n"/>
      <c r="E438" s="12" t="n"/>
      <c r="F438" s="12" t="n"/>
      <c r="G438" s="12" t="n"/>
      <c r="H438" s="12" t="n"/>
      <c r="I438" s="13" t="n"/>
      <c r="J438" s="13" t="n"/>
      <c r="K438" s="12" t="n"/>
      <c r="L438" s="13" t="n"/>
      <c r="M438" s="15">
        <f>IF($A438="","",IF($D438="",1,$D438)*$E438+$F438-$H438)</f>
        <v/>
      </c>
      <c r="N438" s="15">
        <f>IF($A438="","",IF($B438="Etsy",IF($D438="",1,$D438)*Settings!$C$19,0))</f>
        <v/>
      </c>
      <c r="O438" s="15">
        <f>IF($A438="","",IF($B438="Etsy",Settings!$C$20*($M438+IF(Settings!$C$54="Y",0,$H438)),0))</f>
        <v/>
      </c>
      <c r="P438" s="15">
        <f>IF($A438="","",IF($B438="Etsy",Settings!$C$21*$M438*(1+Settings!$C$55)+Settings!$C$22,IF($B438="Shopify",Settings!$C$14*$M438+Settings!$C$15,0)))</f>
        <v/>
      </c>
      <c r="Q438" s="15">
        <f>IF($A438="","",IF(AND($B438="Etsy",$I438="Y"),MIN(Settings!$C$12*($M438+IF(Settings!$C$54="Y",0,$H438)),Settings!$C$25),0))</f>
        <v/>
      </c>
      <c r="R438" s="15">
        <f>IF($A438="","",IF(AND($B438="Etsy",$J438="Y",$L438="Y",$M438&gt;0),($O438+Settings!$C$21*$M438*(1+Settings!$C$55)+IF(Settings!$C$59="Y",$Q438,0))*$T438/$M438+IF(AND(Settings!$C$58="Y",$T438&gt;=$M438),Settings!$C$22,0),0))</f>
        <v/>
      </c>
      <c r="S438" s="15">
        <f>IF($A438="","",$N438+$O438+$P438+$Q438-$R438)</f>
        <v/>
      </c>
      <c r="T438" s="15">
        <f>IF($A438="","",IF($J438="Y",IF($K438="",$M438,MIN($K438,$M438)),0))</f>
        <v/>
      </c>
      <c r="U438" s="15">
        <f>IF($A438="","",IF($D438="",1,$D438)*IFERROR(INDEX(Products!$F$5:$F$54,MATCH($C438,Products!$A$5:$A$54,0)),0))</f>
        <v/>
      </c>
      <c r="V438" s="27">
        <f>IF($A438="","",$M438-$T438-$S438-$U438-$G438)</f>
        <v/>
      </c>
      <c r="W438" s="31">
        <f>IF($A438="","",IF($M438-$T438&gt;0,$V438/($M438-$T438),""))</f>
        <v/>
      </c>
      <c r="X438" s="35">
        <f>IF($A438="","",DATE(YEAR($A438),MONTH($A438),1))</f>
        <v/>
      </c>
    </row>
    <row r="439">
      <c r="A439" s="18" t="n"/>
      <c r="B439" s="13" t="n"/>
      <c r="C439" s="13" t="n"/>
      <c r="D439" s="26" t="n"/>
      <c r="E439" s="12" t="n"/>
      <c r="F439" s="12" t="n"/>
      <c r="G439" s="12" t="n"/>
      <c r="H439" s="12" t="n"/>
      <c r="I439" s="13" t="n"/>
      <c r="J439" s="13" t="n"/>
      <c r="K439" s="12" t="n"/>
      <c r="L439" s="13" t="n"/>
      <c r="M439" s="15">
        <f>IF($A439="","",IF($D439="",1,$D439)*$E439+$F439-$H439)</f>
        <v/>
      </c>
      <c r="N439" s="15">
        <f>IF($A439="","",IF($B439="Etsy",IF($D439="",1,$D439)*Settings!$C$19,0))</f>
        <v/>
      </c>
      <c r="O439" s="15">
        <f>IF($A439="","",IF($B439="Etsy",Settings!$C$20*($M439+IF(Settings!$C$54="Y",0,$H439)),0))</f>
        <v/>
      </c>
      <c r="P439" s="15">
        <f>IF($A439="","",IF($B439="Etsy",Settings!$C$21*$M439*(1+Settings!$C$55)+Settings!$C$22,IF($B439="Shopify",Settings!$C$14*$M439+Settings!$C$15,0)))</f>
        <v/>
      </c>
      <c r="Q439" s="15">
        <f>IF($A439="","",IF(AND($B439="Etsy",$I439="Y"),MIN(Settings!$C$12*($M439+IF(Settings!$C$54="Y",0,$H439)),Settings!$C$25),0))</f>
        <v/>
      </c>
      <c r="R439" s="15">
        <f>IF($A439="","",IF(AND($B439="Etsy",$J439="Y",$L439="Y",$M439&gt;0),($O439+Settings!$C$21*$M439*(1+Settings!$C$55)+IF(Settings!$C$59="Y",$Q439,0))*$T439/$M439+IF(AND(Settings!$C$58="Y",$T439&gt;=$M439),Settings!$C$22,0),0))</f>
        <v/>
      </c>
      <c r="S439" s="15">
        <f>IF($A439="","",$N439+$O439+$P439+$Q439-$R439)</f>
        <v/>
      </c>
      <c r="T439" s="15">
        <f>IF($A439="","",IF($J439="Y",IF($K439="",$M439,MIN($K439,$M439)),0))</f>
        <v/>
      </c>
      <c r="U439" s="15">
        <f>IF($A439="","",IF($D439="",1,$D439)*IFERROR(INDEX(Products!$F$5:$F$54,MATCH($C439,Products!$A$5:$A$54,0)),0))</f>
        <v/>
      </c>
      <c r="V439" s="27">
        <f>IF($A439="","",$M439-$T439-$S439-$U439-$G439)</f>
        <v/>
      </c>
      <c r="W439" s="31">
        <f>IF($A439="","",IF($M439-$T439&gt;0,$V439/($M439-$T439),""))</f>
        <v/>
      </c>
      <c r="X439" s="35">
        <f>IF($A439="","",DATE(YEAR($A439),MONTH($A439),1))</f>
        <v/>
      </c>
    </row>
    <row r="440">
      <c r="A440" s="18" t="n"/>
      <c r="B440" s="13" t="n"/>
      <c r="C440" s="13" t="n"/>
      <c r="D440" s="26" t="n"/>
      <c r="E440" s="12" t="n"/>
      <c r="F440" s="12" t="n"/>
      <c r="G440" s="12" t="n"/>
      <c r="H440" s="12" t="n"/>
      <c r="I440" s="13" t="n"/>
      <c r="J440" s="13" t="n"/>
      <c r="K440" s="12" t="n"/>
      <c r="L440" s="13" t="n"/>
      <c r="M440" s="15">
        <f>IF($A440="","",IF($D440="",1,$D440)*$E440+$F440-$H440)</f>
        <v/>
      </c>
      <c r="N440" s="15">
        <f>IF($A440="","",IF($B440="Etsy",IF($D440="",1,$D440)*Settings!$C$19,0))</f>
        <v/>
      </c>
      <c r="O440" s="15">
        <f>IF($A440="","",IF($B440="Etsy",Settings!$C$20*($M440+IF(Settings!$C$54="Y",0,$H440)),0))</f>
        <v/>
      </c>
      <c r="P440" s="15">
        <f>IF($A440="","",IF($B440="Etsy",Settings!$C$21*$M440*(1+Settings!$C$55)+Settings!$C$22,IF($B440="Shopify",Settings!$C$14*$M440+Settings!$C$15,0)))</f>
        <v/>
      </c>
      <c r="Q440" s="15">
        <f>IF($A440="","",IF(AND($B440="Etsy",$I440="Y"),MIN(Settings!$C$12*($M440+IF(Settings!$C$54="Y",0,$H440)),Settings!$C$25),0))</f>
        <v/>
      </c>
      <c r="R440" s="15">
        <f>IF($A440="","",IF(AND($B440="Etsy",$J440="Y",$L440="Y",$M440&gt;0),($O440+Settings!$C$21*$M440*(1+Settings!$C$55)+IF(Settings!$C$59="Y",$Q440,0))*$T440/$M440+IF(AND(Settings!$C$58="Y",$T440&gt;=$M440),Settings!$C$22,0),0))</f>
        <v/>
      </c>
      <c r="S440" s="15">
        <f>IF($A440="","",$N440+$O440+$P440+$Q440-$R440)</f>
        <v/>
      </c>
      <c r="T440" s="15">
        <f>IF($A440="","",IF($J440="Y",IF($K440="",$M440,MIN($K440,$M440)),0))</f>
        <v/>
      </c>
      <c r="U440" s="15">
        <f>IF($A440="","",IF($D440="",1,$D440)*IFERROR(INDEX(Products!$F$5:$F$54,MATCH($C440,Products!$A$5:$A$54,0)),0))</f>
        <v/>
      </c>
      <c r="V440" s="27">
        <f>IF($A440="","",$M440-$T440-$S440-$U440-$G440)</f>
        <v/>
      </c>
      <c r="W440" s="31">
        <f>IF($A440="","",IF($M440-$T440&gt;0,$V440/($M440-$T440),""))</f>
        <v/>
      </c>
      <c r="X440" s="35">
        <f>IF($A440="","",DATE(YEAR($A440),MONTH($A440),1))</f>
        <v/>
      </c>
    </row>
    <row r="441">
      <c r="A441" s="18" t="n"/>
      <c r="B441" s="13" t="n"/>
      <c r="C441" s="13" t="n"/>
      <c r="D441" s="26" t="n"/>
      <c r="E441" s="12" t="n"/>
      <c r="F441" s="12" t="n"/>
      <c r="G441" s="12" t="n"/>
      <c r="H441" s="12" t="n"/>
      <c r="I441" s="13" t="n"/>
      <c r="J441" s="13" t="n"/>
      <c r="K441" s="12" t="n"/>
      <c r="L441" s="13" t="n"/>
      <c r="M441" s="15">
        <f>IF($A441="","",IF($D441="",1,$D441)*$E441+$F441-$H441)</f>
        <v/>
      </c>
      <c r="N441" s="15">
        <f>IF($A441="","",IF($B441="Etsy",IF($D441="",1,$D441)*Settings!$C$19,0))</f>
        <v/>
      </c>
      <c r="O441" s="15">
        <f>IF($A441="","",IF($B441="Etsy",Settings!$C$20*($M441+IF(Settings!$C$54="Y",0,$H441)),0))</f>
        <v/>
      </c>
      <c r="P441" s="15">
        <f>IF($A441="","",IF($B441="Etsy",Settings!$C$21*$M441*(1+Settings!$C$55)+Settings!$C$22,IF($B441="Shopify",Settings!$C$14*$M441+Settings!$C$15,0)))</f>
        <v/>
      </c>
      <c r="Q441" s="15">
        <f>IF($A441="","",IF(AND($B441="Etsy",$I441="Y"),MIN(Settings!$C$12*($M441+IF(Settings!$C$54="Y",0,$H441)),Settings!$C$25),0))</f>
        <v/>
      </c>
      <c r="R441" s="15">
        <f>IF($A441="","",IF(AND($B441="Etsy",$J441="Y",$L441="Y",$M441&gt;0),($O441+Settings!$C$21*$M441*(1+Settings!$C$55)+IF(Settings!$C$59="Y",$Q441,0))*$T441/$M441+IF(AND(Settings!$C$58="Y",$T441&gt;=$M441),Settings!$C$22,0),0))</f>
        <v/>
      </c>
      <c r="S441" s="15">
        <f>IF($A441="","",$N441+$O441+$P441+$Q441-$R441)</f>
        <v/>
      </c>
      <c r="T441" s="15">
        <f>IF($A441="","",IF($J441="Y",IF($K441="",$M441,MIN($K441,$M441)),0))</f>
        <v/>
      </c>
      <c r="U441" s="15">
        <f>IF($A441="","",IF($D441="",1,$D441)*IFERROR(INDEX(Products!$F$5:$F$54,MATCH($C441,Products!$A$5:$A$54,0)),0))</f>
        <v/>
      </c>
      <c r="V441" s="27">
        <f>IF($A441="","",$M441-$T441-$S441-$U441-$G441)</f>
        <v/>
      </c>
      <c r="W441" s="31">
        <f>IF($A441="","",IF($M441-$T441&gt;0,$V441/($M441-$T441),""))</f>
        <v/>
      </c>
      <c r="X441" s="35">
        <f>IF($A441="","",DATE(YEAR($A441),MONTH($A441),1))</f>
        <v/>
      </c>
    </row>
    <row r="442">
      <c r="A442" s="18" t="n"/>
      <c r="B442" s="13" t="n"/>
      <c r="C442" s="13" t="n"/>
      <c r="D442" s="26" t="n"/>
      <c r="E442" s="12" t="n"/>
      <c r="F442" s="12" t="n"/>
      <c r="G442" s="12" t="n"/>
      <c r="H442" s="12" t="n"/>
      <c r="I442" s="13" t="n"/>
      <c r="J442" s="13" t="n"/>
      <c r="K442" s="12" t="n"/>
      <c r="L442" s="13" t="n"/>
      <c r="M442" s="15">
        <f>IF($A442="","",IF($D442="",1,$D442)*$E442+$F442-$H442)</f>
        <v/>
      </c>
      <c r="N442" s="15">
        <f>IF($A442="","",IF($B442="Etsy",IF($D442="",1,$D442)*Settings!$C$19,0))</f>
        <v/>
      </c>
      <c r="O442" s="15">
        <f>IF($A442="","",IF($B442="Etsy",Settings!$C$20*($M442+IF(Settings!$C$54="Y",0,$H442)),0))</f>
        <v/>
      </c>
      <c r="P442" s="15">
        <f>IF($A442="","",IF($B442="Etsy",Settings!$C$21*$M442*(1+Settings!$C$55)+Settings!$C$22,IF($B442="Shopify",Settings!$C$14*$M442+Settings!$C$15,0)))</f>
        <v/>
      </c>
      <c r="Q442" s="15">
        <f>IF($A442="","",IF(AND($B442="Etsy",$I442="Y"),MIN(Settings!$C$12*($M442+IF(Settings!$C$54="Y",0,$H442)),Settings!$C$25),0))</f>
        <v/>
      </c>
      <c r="R442" s="15">
        <f>IF($A442="","",IF(AND($B442="Etsy",$J442="Y",$L442="Y",$M442&gt;0),($O442+Settings!$C$21*$M442*(1+Settings!$C$55)+IF(Settings!$C$59="Y",$Q442,0))*$T442/$M442+IF(AND(Settings!$C$58="Y",$T442&gt;=$M442),Settings!$C$22,0),0))</f>
        <v/>
      </c>
      <c r="S442" s="15">
        <f>IF($A442="","",$N442+$O442+$P442+$Q442-$R442)</f>
        <v/>
      </c>
      <c r="T442" s="15">
        <f>IF($A442="","",IF($J442="Y",IF($K442="",$M442,MIN($K442,$M442)),0))</f>
        <v/>
      </c>
      <c r="U442" s="15">
        <f>IF($A442="","",IF($D442="",1,$D442)*IFERROR(INDEX(Products!$F$5:$F$54,MATCH($C442,Products!$A$5:$A$54,0)),0))</f>
        <v/>
      </c>
      <c r="V442" s="27">
        <f>IF($A442="","",$M442-$T442-$S442-$U442-$G442)</f>
        <v/>
      </c>
      <c r="W442" s="31">
        <f>IF($A442="","",IF($M442-$T442&gt;0,$V442/($M442-$T442),""))</f>
        <v/>
      </c>
      <c r="X442" s="35">
        <f>IF($A442="","",DATE(YEAR($A442),MONTH($A442),1))</f>
        <v/>
      </c>
    </row>
    <row r="443">
      <c r="A443" s="18" t="n"/>
      <c r="B443" s="13" t="n"/>
      <c r="C443" s="13" t="n"/>
      <c r="D443" s="26" t="n"/>
      <c r="E443" s="12" t="n"/>
      <c r="F443" s="12" t="n"/>
      <c r="G443" s="12" t="n"/>
      <c r="H443" s="12" t="n"/>
      <c r="I443" s="13" t="n"/>
      <c r="J443" s="13" t="n"/>
      <c r="K443" s="12" t="n"/>
      <c r="L443" s="13" t="n"/>
      <c r="M443" s="15">
        <f>IF($A443="","",IF($D443="",1,$D443)*$E443+$F443-$H443)</f>
        <v/>
      </c>
      <c r="N443" s="15">
        <f>IF($A443="","",IF($B443="Etsy",IF($D443="",1,$D443)*Settings!$C$19,0))</f>
        <v/>
      </c>
      <c r="O443" s="15">
        <f>IF($A443="","",IF($B443="Etsy",Settings!$C$20*($M443+IF(Settings!$C$54="Y",0,$H443)),0))</f>
        <v/>
      </c>
      <c r="P443" s="15">
        <f>IF($A443="","",IF($B443="Etsy",Settings!$C$21*$M443*(1+Settings!$C$55)+Settings!$C$22,IF($B443="Shopify",Settings!$C$14*$M443+Settings!$C$15,0)))</f>
        <v/>
      </c>
      <c r="Q443" s="15">
        <f>IF($A443="","",IF(AND($B443="Etsy",$I443="Y"),MIN(Settings!$C$12*($M443+IF(Settings!$C$54="Y",0,$H443)),Settings!$C$25),0))</f>
        <v/>
      </c>
      <c r="R443" s="15">
        <f>IF($A443="","",IF(AND($B443="Etsy",$J443="Y",$L443="Y",$M443&gt;0),($O443+Settings!$C$21*$M443*(1+Settings!$C$55)+IF(Settings!$C$59="Y",$Q443,0))*$T443/$M443+IF(AND(Settings!$C$58="Y",$T443&gt;=$M443),Settings!$C$22,0),0))</f>
        <v/>
      </c>
      <c r="S443" s="15">
        <f>IF($A443="","",$N443+$O443+$P443+$Q443-$R443)</f>
        <v/>
      </c>
      <c r="T443" s="15">
        <f>IF($A443="","",IF($J443="Y",IF($K443="",$M443,MIN($K443,$M443)),0))</f>
        <v/>
      </c>
      <c r="U443" s="15">
        <f>IF($A443="","",IF($D443="",1,$D443)*IFERROR(INDEX(Products!$F$5:$F$54,MATCH($C443,Products!$A$5:$A$54,0)),0))</f>
        <v/>
      </c>
      <c r="V443" s="27">
        <f>IF($A443="","",$M443-$T443-$S443-$U443-$G443)</f>
        <v/>
      </c>
      <c r="W443" s="31">
        <f>IF($A443="","",IF($M443-$T443&gt;0,$V443/($M443-$T443),""))</f>
        <v/>
      </c>
      <c r="X443" s="35">
        <f>IF($A443="","",DATE(YEAR($A443),MONTH($A443),1))</f>
        <v/>
      </c>
    </row>
    <row r="444">
      <c r="A444" s="18" t="n"/>
      <c r="B444" s="13" t="n"/>
      <c r="C444" s="13" t="n"/>
      <c r="D444" s="26" t="n"/>
      <c r="E444" s="12" t="n"/>
      <c r="F444" s="12" t="n"/>
      <c r="G444" s="12" t="n"/>
      <c r="H444" s="12" t="n"/>
      <c r="I444" s="13" t="n"/>
      <c r="J444" s="13" t="n"/>
      <c r="K444" s="12" t="n"/>
      <c r="L444" s="13" t="n"/>
      <c r="M444" s="15">
        <f>IF($A444="","",IF($D444="",1,$D444)*$E444+$F444-$H444)</f>
        <v/>
      </c>
      <c r="N444" s="15">
        <f>IF($A444="","",IF($B444="Etsy",IF($D444="",1,$D444)*Settings!$C$19,0))</f>
        <v/>
      </c>
      <c r="O444" s="15">
        <f>IF($A444="","",IF($B444="Etsy",Settings!$C$20*($M444+IF(Settings!$C$54="Y",0,$H444)),0))</f>
        <v/>
      </c>
      <c r="P444" s="15">
        <f>IF($A444="","",IF($B444="Etsy",Settings!$C$21*$M444*(1+Settings!$C$55)+Settings!$C$22,IF($B444="Shopify",Settings!$C$14*$M444+Settings!$C$15,0)))</f>
        <v/>
      </c>
      <c r="Q444" s="15">
        <f>IF($A444="","",IF(AND($B444="Etsy",$I444="Y"),MIN(Settings!$C$12*($M444+IF(Settings!$C$54="Y",0,$H444)),Settings!$C$25),0))</f>
        <v/>
      </c>
      <c r="R444" s="15">
        <f>IF($A444="","",IF(AND($B444="Etsy",$J444="Y",$L444="Y",$M444&gt;0),($O444+Settings!$C$21*$M444*(1+Settings!$C$55)+IF(Settings!$C$59="Y",$Q444,0))*$T444/$M444+IF(AND(Settings!$C$58="Y",$T444&gt;=$M444),Settings!$C$22,0),0))</f>
        <v/>
      </c>
      <c r="S444" s="15">
        <f>IF($A444="","",$N444+$O444+$P444+$Q444-$R444)</f>
        <v/>
      </c>
      <c r="T444" s="15">
        <f>IF($A444="","",IF($J444="Y",IF($K444="",$M444,MIN($K444,$M444)),0))</f>
        <v/>
      </c>
      <c r="U444" s="15">
        <f>IF($A444="","",IF($D444="",1,$D444)*IFERROR(INDEX(Products!$F$5:$F$54,MATCH($C444,Products!$A$5:$A$54,0)),0))</f>
        <v/>
      </c>
      <c r="V444" s="27">
        <f>IF($A444="","",$M444-$T444-$S444-$U444-$G444)</f>
        <v/>
      </c>
      <c r="W444" s="31">
        <f>IF($A444="","",IF($M444-$T444&gt;0,$V444/($M444-$T444),""))</f>
        <v/>
      </c>
      <c r="X444" s="35">
        <f>IF($A444="","",DATE(YEAR($A444),MONTH($A444),1))</f>
        <v/>
      </c>
    </row>
    <row r="445">
      <c r="A445" s="18" t="n"/>
      <c r="B445" s="13" t="n"/>
      <c r="C445" s="13" t="n"/>
      <c r="D445" s="26" t="n"/>
      <c r="E445" s="12" t="n"/>
      <c r="F445" s="12" t="n"/>
      <c r="G445" s="12" t="n"/>
      <c r="H445" s="12" t="n"/>
      <c r="I445" s="13" t="n"/>
      <c r="J445" s="13" t="n"/>
      <c r="K445" s="12" t="n"/>
      <c r="L445" s="13" t="n"/>
      <c r="M445" s="15">
        <f>IF($A445="","",IF($D445="",1,$D445)*$E445+$F445-$H445)</f>
        <v/>
      </c>
      <c r="N445" s="15">
        <f>IF($A445="","",IF($B445="Etsy",IF($D445="",1,$D445)*Settings!$C$19,0))</f>
        <v/>
      </c>
      <c r="O445" s="15">
        <f>IF($A445="","",IF($B445="Etsy",Settings!$C$20*($M445+IF(Settings!$C$54="Y",0,$H445)),0))</f>
        <v/>
      </c>
      <c r="P445" s="15">
        <f>IF($A445="","",IF($B445="Etsy",Settings!$C$21*$M445*(1+Settings!$C$55)+Settings!$C$22,IF($B445="Shopify",Settings!$C$14*$M445+Settings!$C$15,0)))</f>
        <v/>
      </c>
      <c r="Q445" s="15">
        <f>IF($A445="","",IF(AND($B445="Etsy",$I445="Y"),MIN(Settings!$C$12*($M445+IF(Settings!$C$54="Y",0,$H445)),Settings!$C$25),0))</f>
        <v/>
      </c>
      <c r="R445" s="15">
        <f>IF($A445="","",IF(AND($B445="Etsy",$J445="Y",$L445="Y",$M445&gt;0),($O445+Settings!$C$21*$M445*(1+Settings!$C$55)+IF(Settings!$C$59="Y",$Q445,0))*$T445/$M445+IF(AND(Settings!$C$58="Y",$T445&gt;=$M445),Settings!$C$22,0),0))</f>
        <v/>
      </c>
      <c r="S445" s="15">
        <f>IF($A445="","",$N445+$O445+$P445+$Q445-$R445)</f>
        <v/>
      </c>
      <c r="T445" s="15">
        <f>IF($A445="","",IF($J445="Y",IF($K445="",$M445,MIN($K445,$M445)),0))</f>
        <v/>
      </c>
      <c r="U445" s="15">
        <f>IF($A445="","",IF($D445="",1,$D445)*IFERROR(INDEX(Products!$F$5:$F$54,MATCH($C445,Products!$A$5:$A$54,0)),0))</f>
        <v/>
      </c>
      <c r="V445" s="27">
        <f>IF($A445="","",$M445-$T445-$S445-$U445-$G445)</f>
        <v/>
      </c>
      <c r="W445" s="31">
        <f>IF($A445="","",IF($M445-$T445&gt;0,$V445/($M445-$T445),""))</f>
        <v/>
      </c>
      <c r="X445" s="35">
        <f>IF($A445="","",DATE(YEAR($A445),MONTH($A445),1))</f>
        <v/>
      </c>
    </row>
    <row r="446">
      <c r="A446" s="18" t="n"/>
      <c r="B446" s="13" t="n"/>
      <c r="C446" s="13" t="n"/>
      <c r="D446" s="26" t="n"/>
      <c r="E446" s="12" t="n"/>
      <c r="F446" s="12" t="n"/>
      <c r="G446" s="12" t="n"/>
      <c r="H446" s="12" t="n"/>
      <c r="I446" s="13" t="n"/>
      <c r="J446" s="13" t="n"/>
      <c r="K446" s="12" t="n"/>
      <c r="L446" s="13" t="n"/>
      <c r="M446" s="15">
        <f>IF($A446="","",IF($D446="",1,$D446)*$E446+$F446-$H446)</f>
        <v/>
      </c>
      <c r="N446" s="15">
        <f>IF($A446="","",IF($B446="Etsy",IF($D446="",1,$D446)*Settings!$C$19,0))</f>
        <v/>
      </c>
      <c r="O446" s="15">
        <f>IF($A446="","",IF($B446="Etsy",Settings!$C$20*($M446+IF(Settings!$C$54="Y",0,$H446)),0))</f>
        <v/>
      </c>
      <c r="P446" s="15">
        <f>IF($A446="","",IF($B446="Etsy",Settings!$C$21*$M446*(1+Settings!$C$55)+Settings!$C$22,IF($B446="Shopify",Settings!$C$14*$M446+Settings!$C$15,0)))</f>
        <v/>
      </c>
      <c r="Q446" s="15">
        <f>IF($A446="","",IF(AND($B446="Etsy",$I446="Y"),MIN(Settings!$C$12*($M446+IF(Settings!$C$54="Y",0,$H446)),Settings!$C$25),0))</f>
        <v/>
      </c>
      <c r="R446" s="15">
        <f>IF($A446="","",IF(AND($B446="Etsy",$J446="Y",$L446="Y",$M446&gt;0),($O446+Settings!$C$21*$M446*(1+Settings!$C$55)+IF(Settings!$C$59="Y",$Q446,0))*$T446/$M446+IF(AND(Settings!$C$58="Y",$T446&gt;=$M446),Settings!$C$22,0),0))</f>
        <v/>
      </c>
      <c r="S446" s="15">
        <f>IF($A446="","",$N446+$O446+$P446+$Q446-$R446)</f>
        <v/>
      </c>
      <c r="T446" s="15">
        <f>IF($A446="","",IF($J446="Y",IF($K446="",$M446,MIN($K446,$M446)),0))</f>
        <v/>
      </c>
      <c r="U446" s="15">
        <f>IF($A446="","",IF($D446="",1,$D446)*IFERROR(INDEX(Products!$F$5:$F$54,MATCH($C446,Products!$A$5:$A$54,0)),0))</f>
        <v/>
      </c>
      <c r="V446" s="27">
        <f>IF($A446="","",$M446-$T446-$S446-$U446-$G446)</f>
        <v/>
      </c>
      <c r="W446" s="31">
        <f>IF($A446="","",IF($M446-$T446&gt;0,$V446/($M446-$T446),""))</f>
        <v/>
      </c>
      <c r="X446" s="35">
        <f>IF($A446="","",DATE(YEAR($A446),MONTH($A446),1))</f>
        <v/>
      </c>
    </row>
    <row r="447">
      <c r="A447" s="18" t="n"/>
      <c r="B447" s="13" t="n"/>
      <c r="C447" s="13" t="n"/>
      <c r="D447" s="26" t="n"/>
      <c r="E447" s="12" t="n"/>
      <c r="F447" s="12" t="n"/>
      <c r="G447" s="12" t="n"/>
      <c r="H447" s="12" t="n"/>
      <c r="I447" s="13" t="n"/>
      <c r="J447" s="13" t="n"/>
      <c r="K447" s="12" t="n"/>
      <c r="L447" s="13" t="n"/>
      <c r="M447" s="15">
        <f>IF($A447="","",IF($D447="",1,$D447)*$E447+$F447-$H447)</f>
        <v/>
      </c>
      <c r="N447" s="15">
        <f>IF($A447="","",IF($B447="Etsy",IF($D447="",1,$D447)*Settings!$C$19,0))</f>
        <v/>
      </c>
      <c r="O447" s="15">
        <f>IF($A447="","",IF($B447="Etsy",Settings!$C$20*($M447+IF(Settings!$C$54="Y",0,$H447)),0))</f>
        <v/>
      </c>
      <c r="P447" s="15">
        <f>IF($A447="","",IF($B447="Etsy",Settings!$C$21*$M447*(1+Settings!$C$55)+Settings!$C$22,IF($B447="Shopify",Settings!$C$14*$M447+Settings!$C$15,0)))</f>
        <v/>
      </c>
      <c r="Q447" s="15">
        <f>IF($A447="","",IF(AND($B447="Etsy",$I447="Y"),MIN(Settings!$C$12*($M447+IF(Settings!$C$54="Y",0,$H447)),Settings!$C$25),0))</f>
        <v/>
      </c>
      <c r="R447" s="15">
        <f>IF($A447="","",IF(AND($B447="Etsy",$J447="Y",$L447="Y",$M447&gt;0),($O447+Settings!$C$21*$M447*(1+Settings!$C$55)+IF(Settings!$C$59="Y",$Q447,0))*$T447/$M447+IF(AND(Settings!$C$58="Y",$T447&gt;=$M447),Settings!$C$22,0),0))</f>
        <v/>
      </c>
      <c r="S447" s="15">
        <f>IF($A447="","",$N447+$O447+$P447+$Q447-$R447)</f>
        <v/>
      </c>
      <c r="T447" s="15">
        <f>IF($A447="","",IF($J447="Y",IF($K447="",$M447,MIN($K447,$M447)),0))</f>
        <v/>
      </c>
      <c r="U447" s="15">
        <f>IF($A447="","",IF($D447="",1,$D447)*IFERROR(INDEX(Products!$F$5:$F$54,MATCH($C447,Products!$A$5:$A$54,0)),0))</f>
        <v/>
      </c>
      <c r="V447" s="27">
        <f>IF($A447="","",$M447-$T447-$S447-$U447-$G447)</f>
        <v/>
      </c>
      <c r="W447" s="31">
        <f>IF($A447="","",IF($M447-$T447&gt;0,$V447/($M447-$T447),""))</f>
        <v/>
      </c>
      <c r="X447" s="35">
        <f>IF($A447="","",DATE(YEAR($A447),MONTH($A447),1))</f>
        <v/>
      </c>
    </row>
    <row r="448">
      <c r="A448" s="18" t="n"/>
      <c r="B448" s="13" t="n"/>
      <c r="C448" s="13" t="n"/>
      <c r="D448" s="26" t="n"/>
      <c r="E448" s="12" t="n"/>
      <c r="F448" s="12" t="n"/>
      <c r="G448" s="12" t="n"/>
      <c r="H448" s="12" t="n"/>
      <c r="I448" s="13" t="n"/>
      <c r="J448" s="13" t="n"/>
      <c r="K448" s="12" t="n"/>
      <c r="L448" s="13" t="n"/>
      <c r="M448" s="15">
        <f>IF($A448="","",IF($D448="",1,$D448)*$E448+$F448-$H448)</f>
        <v/>
      </c>
      <c r="N448" s="15">
        <f>IF($A448="","",IF($B448="Etsy",IF($D448="",1,$D448)*Settings!$C$19,0))</f>
        <v/>
      </c>
      <c r="O448" s="15">
        <f>IF($A448="","",IF($B448="Etsy",Settings!$C$20*($M448+IF(Settings!$C$54="Y",0,$H448)),0))</f>
        <v/>
      </c>
      <c r="P448" s="15">
        <f>IF($A448="","",IF($B448="Etsy",Settings!$C$21*$M448*(1+Settings!$C$55)+Settings!$C$22,IF($B448="Shopify",Settings!$C$14*$M448+Settings!$C$15,0)))</f>
        <v/>
      </c>
      <c r="Q448" s="15">
        <f>IF($A448="","",IF(AND($B448="Etsy",$I448="Y"),MIN(Settings!$C$12*($M448+IF(Settings!$C$54="Y",0,$H448)),Settings!$C$25),0))</f>
        <v/>
      </c>
      <c r="R448" s="15">
        <f>IF($A448="","",IF(AND($B448="Etsy",$J448="Y",$L448="Y",$M448&gt;0),($O448+Settings!$C$21*$M448*(1+Settings!$C$55)+IF(Settings!$C$59="Y",$Q448,0))*$T448/$M448+IF(AND(Settings!$C$58="Y",$T448&gt;=$M448),Settings!$C$22,0),0))</f>
        <v/>
      </c>
      <c r="S448" s="15">
        <f>IF($A448="","",$N448+$O448+$P448+$Q448-$R448)</f>
        <v/>
      </c>
      <c r="T448" s="15">
        <f>IF($A448="","",IF($J448="Y",IF($K448="",$M448,MIN($K448,$M448)),0))</f>
        <v/>
      </c>
      <c r="U448" s="15">
        <f>IF($A448="","",IF($D448="",1,$D448)*IFERROR(INDEX(Products!$F$5:$F$54,MATCH($C448,Products!$A$5:$A$54,0)),0))</f>
        <v/>
      </c>
      <c r="V448" s="27">
        <f>IF($A448="","",$M448-$T448-$S448-$U448-$G448)</f>
        <v/>
      </c>
      <c r="W448" s="31">
        <f>IF($A448="","",IF($M448-$T448&gt;0,$V448/($M448-$T448),""))</f>
        <v/>
      </c>
      <c r="X448" s="35">
        <f>IF($A448="","",DATE(YEAR($A448),MONTH($A448),1))</f>
        <v/>
      </c>
    </row>
    <row r="449">
      <c r="A449" s="18" t="n"/>
      <c r="B449" s="13" t="n"/>
      <c r="C449" s="13" t="n"/>
      <c r="D449" s="26" t="n"/>
      <c r="E449" s="12" t="n"/>
      <c r="F449" s="12" t="n"/>
      <c r="G449" s="12" t="n"/>
      <c r="H449" s="12" t="n"/>
      <c r="I449" s="13" t="n"/>
      <c r="J449" s="13" t="n"/>
      <c r="K449" s="12" t="n"/>
      <c r="L449" s="13" t="n"/>
      <c r="M449" s="15">
        <f>IF($A449="","",IF($D449="",1,$D449)*$E449+$F449-$H449)</f>
        <v/>
      </c>
      <c r="N449" s="15">
        <f>IF($A449="","",IF($B449="Etsy",IF($D449="",1,$D449)*Settings!$C$19,0))</f>
        <v/>
      </c>
      <c r="O449" s="15">
        <f>IF($A449="","",IF($B449="Etsy",Settings!$C$20*($M449+IF(Settings!$C$54="Y",0,$H449)),0))</f>
        <v/>
      </c>
      <c r="P449" s="15">
        <f>IF($A449="","",IF($B449="Etsy",Settings!$C$21*$M449*(1+Settings!$C$55)+Settings!$C$22,IF($B449="Shopify",Settings!$C$14*$M449+Settings!$C$15,0)))</f>
        <v/>
      </c>
      <c r="Q449" s="15">
        <f>IF($A449="","",IF(AND($B449="Etsy",$I449="Y"),MIN(Settings!$C$12*($M449+IF(Settings!$C$54="Y",0,$H449)),Settings!$C$25),0))</f>
        <v/>
      </c>
      <c r="R449" s="15">
        <f>IF($A449="","",IF(AND($B449="Etsy",$J449="Y",$L449="Y",$M449&gt;0),($O449+Settings!$C$21*$M449*(1+Settings!$C$55)+IF(Settings!$C$59="Y",$Q449,0))*$T449/$M449+IF(AND(Settings!$C$58="Y",$T449&gt;=$M449),Settings!$C$22,0),0))</f>
        <v/>
      </c>
      <c r="S449" s="15">
        <f>IF($A449="","",$N449+$O449+$P449+$Q449-$R449)</f>
        <v/>
      </c>
      <c r="T449" s="15">
        <f>IF($A449="","",IF($J449="Y",IF($K449="",$M449,MIN($K449,$M449)),0))</f>
        <v/>
      </c>
      <c r="U449" s="15">
        <f>IF($A449="","",IF($D449="",1,$D449)*IFERROR(INDEX(Products!$F$5:$F$54,MATCH($C449,Products!$A$5:$A$54,0)),0))</f>
        <v/>
      </c>
      <c r="V449" s="27">
        <f>IF($A449="","",$M449-$T449-$S449-$U449-$G449)</f>
        <v/>
      </c>
      <c r="W449" s="31">
        <f>IF($A449="","",IF($M449-$T449&gt;0,$V449/($M449-$T449),""))</f>
        <v/>
      </c>
      <c r="X449" s="35">
        <f>IF($A449="","",DATE(YEAR($A449),MONTH($A449),1))</f>
        <v/>
      </c>
    </row>
    <row r="450">
      <c r="A450" s="18" t="n"/>
      <c r="B450" s="13" t="n"/>
      <c r="C450" s="13" t="n"/>
      <c r="D450" s="26" t="n"/>
      <c r="E450" s="12" t="n"/>
      <c r="F450" s="12" t="n"/>
      <c r="G450" s="12" t="n"/>
      <c r="H450" s="12" t="n"/>
      <c r="I450" s="13" t="n"/>
      <c r="J450" s="13" t="n"/>
      <c r="K450" s="12" t="n"/>
      <c r="L450" s="13" t="n"/>
      <c r="M450" s="15">
        <f>IF($A450="","",IF($D450="",1,$D450)*$E450+$F450-$H450)</f>
        <v/>
      </c>
      <c r="N450" s="15">
        <f>IF($A450="","",IF($B450="Etsy",IF($D450="",1,$D450)*Settings!$C$19,0))</f>
        <v/>
      </c>
      <c r="O450" s="15">
        <f>IF($A450="","",IF($B450="Etsy",Settings!$C$20*($M450+IF(Settings!$C$54="Y",0,$H450)),0))</f>
        <v/>
      </c>
      <c r="P450" s="15">
        <f>IF($A450="","",IF($B450="Etsy",Settings!$C$21*$M450*(1+Settings!$C$55)+Settings!$C$22,IF($B450="Shopify",Settings!$C$14*$M450+Settings!$C$15,0)))</f>
        <v/>
      </c>
      <c r="Q450" s="15">
        <f>IF($A450="","",IF(AND($B450="Etsy",$I450="Y"),MIN(Settings!$C$12*($M450+IF(Settings!$C$54="Y",0,$H450)),Settings!$C$25),0))</f>
        <v/>
      </c>
      <c r="R450" s="15">
        <f>IF($A450="","",IF(AND($B450="Etsy",$J450="Y",$L450="Y",$M450&gt;0),($O450+Settings!$C$21*$M450*(1+Settings!$C$55)+IF(Settings!$C$59="Y",$Q450,0))*$T450/$M450+IF(AND(Settings!$C$58="Y",$T450&gt;=$M450),Settings!$C$22,0),0))</f>
        <v/>
      </c>
      <c r="S450" s="15">
        <f>IF($A450="","",$N450+$O450+$P450+$Q450-$R450)</f>
        <v/>
      </c>
      <c r="T450" s="15">
        <f>IF($A450="","",IF($J450="Y",IF($K450="",$M450,MIN($K450,$M450)),0))</f>
        <v/>
      </c>
      <c r="U450" s="15">
        <f>IF($A450="","",IF($D450="",1,$D450)*IFERROR(INDEX(Products!$F$5:$F$54,MATCH($C450,Products!$A$5:$A$54,0)),0))</f>
        <v/>
      </c>
      <c r="V450" s="27">
        <f>IF($A450="","",$M450-$T450-$S450-$U450-$G450)</f>
        <v/>
      </c>
      <c r="W450" s="31">
        <f>IF($A450="","",IF($M450-$T450&gt;0,$V450/($M450-$T450),""))</f>
        <v/>
      </c>
      <c r="X450" s="35">
        <f>IF($A450="","",DATE(YEAR($A450),MONTH($A450),1))</f>
        <v/>
      </c>
    </row>
    <row r="451">
      <c r="A451" s="18" t="n"/>
      <c r="B451" s="13" t="n"/>
      <c r="C451" s="13" t="n"/>
      <c r="D451" s="26" t="n"/>
      <c r="E451" s="12" t="n"/>
      <c r="F451" s="12" t="n"/>
      <c r="G451" s="12" t="n"/>
      <c r="H451" s="12" t="n"/>
      <c r="I451" s="13" t="n"/>
      <c r="J451" s="13" t="n"/>
      <c r="K451" s="12" t="n"/>
      <c r="L451" s="13" t="n"/>
      <c r="M451" s="15">
        <f>IF($A451="","",IF($D451="",1,$D451)*$E451+$F451-$H451)</f>
        <v/>
      </c>
      <c r="N451" s="15">
        <f>IF($A451="","",IF($B451="Etsy",IF($D451="",1,$D451)*Settings!$C$19,0))</f>
        <v/>
      </c>
      <c r="O451" s="15">
        <f>IF($A451="","",IF($B451="Etsy",Settings!$C$20*($M451+IF(Settings!$C$54="Y",0,$H451)),0))</f>
        <v/>
      </c>
      <c r="P451" s="15">
        <f>IF($A451="","",IF($B451="Etsy",Settings!$C$21*$M451*(1+Settings!$C$55)+Settings!$C$22,IF($B451="Shopify",Settings!$C$14*$M451+Settings!$C$15,0)))</f>
        <v/>
      </c>
      <c r="Q451" s="15">
        <f>IF($A451="","",IF(AND($B451="Etsy",$I451="Y"),MIN(Settings!$C$12*($M451+IF(Settings!$C$54="Y",0,$H451)),Settings!$C$25),0))</f>
        <v/>
      </c>
      <c r="R451" s="15">
        <f>IF($A451="","",IF(AND($B451="Etsy",$J451="Y",$L451="Y",$M451&gt;0),($O451+Settings!$C$21*$M451*(1+Settings!$C$55)+IF(Settings!$C$59="Y",$Q451,0))*$T451/$M451+IF(AND(Settings!$C$58="Y",$T451&gt;=$M451),Settings!$C$22,0),0))</f>
        <v/>
      </c>
      <c r="S451" s="15">
        <f>IF($A451="","",$N451+$O451+$P451+$Q451-$R451)</f>
        <v/>
      </c>
      <c r="T451" s="15">
        <f>IF($A451="","",IF($J451="Y",IF($K451="",$M451,MIN($K451,$M451)),0))</f>
        <v/>
      </c>
      <c r="U451" s="15">
        <f>IF($A451="","",IF($D451="",1,$D451)*IFERROR(INDEX(Products!$F$5:$F$54,MATCH($C451,Products!$A$5:$A$54,0)),0))</f>
        <v/>
      </c>
      <c r="V451" s="27">
        <f>IF($A451="","",$M451-$T451-$S451-$U451-$G451)</f>
        <v/>
      </c>
      <c r="W451" s="31">
        <f>IF($A451="","",IF($M451-$T451&gt;0,$V451/($M451-$T451),""))</f>
        <v/>
      </c>
      <c r="X451" s="35">
        <f>IF($A451="","",DATE(YEAR($A451),MONTH($A451),1))</f>
        <v/>
      </c>
    </row>
    <row r="452">
      <c r="A452" s="18" t="n"/>
      <c r="B452" s="13" t="n"/>
      <c r="C452" s="13" t="n"/>
      <c r="D452" s="26" t="n"/>
      <c r="E452" s="12" t="n"/>
      <c r="F452" s="12" t="n"/>
      <c r="G452" s="12" t="n"/>
      <c r="H452" s="12" t="n"/>
      <c r="I452" s="13" t="n"/>
      <c r="J452" s="13" t="n"/>
      <c r="K452" s="12" t="n"/>
      <c r="L452" s="13" t="n"/>
      <c r="M452" s="15">
        <f>IF($A452="","",IF($D452="",1,$D452)*$E452+$F452-$H452)</f>
        <v/>
      </c>
      <c r="N452" s="15">
        <f>IF($A452="","",IF($B452="Etsy",IF($D452="",1,$D452)*Settings!$C$19,0))</f>
        <v/>
      </c>
      <c r="O452" s="15">
        <f>IF($A452="","",IF($B452="Etsy",Settings!$C$20*($M452+IF(Settings!$C$54="Y",0,$H452)),0))</f>
        <v/>
      </c>
      <c r="P452" s="15">
        <f>IF($A452="","",IF($B452="Etsy",Settings!$C$21*$M452*(1+Settings!$C$55)+Settings!$C$22,IF($B452="Shopify",Settings!$C$14*$M452+Settings!$C$15,0)))</f>
        <v/>
      </c>
      <c r="Q452" s="15">
        <f>IF($A452="","",IF(AND($B452="Etsy",$I452="Y"),MIN(Settings!$C$12*($M452+IF(Settings!$C$54="Y",0,$H452)),Settings!$C$25),0))</f>
        <v/>
      </c>
      <c r="R452" s="15">
        <f>IF($A452="","",IF(AND($B452="Etsy",$J452="Y",$L452="Y",$M452&gt;0),($O452+Settings!$C$21*$M452*(1+Settings!$C$55)+IF(Settings!$C$59="Y",$Q452,0))*$T452/$M452+IF(AND(Settings!$C$58="Y",$T452&gt;=$M452),Settings!$C$22,0),0))</f>
        <v/>
      </c>
      <c r="S452" s="15">
        <f>IF($A452="","",$N452+$O452+$P452+$Q452-$R452)</f>
        <v/>
      </c>
      <c r="T452" s="15">
        <f>IF($A452="","",IF($J452="Y",IF($K452="",$M452,MIN($K452,$M452)),0))</f>
        <v/>
      </c>
      <c r="U452" s="15">
        <f>IF($A452="","",IF($D452="",1,$D452)*IFERROR(INDEX(Products!$F$5:$F$54,MATCH($C452,Products!$A$5:$A$54,0)),0))</f>
        <v/>
      </c>
      <c r="V452" s="27">
        <f>IF($A452="","",$M452-$T452-$S452-$U452-$G452)</f>
        <v/>
      </c>
      <c r="W452" s="31">
        <f>IF($A452="","",IF($M452-$T452&gt;0,$V452/($M452-$T452),""))</f>
        <v/>
      </c>
      <c r="X452" s="35">
        <f>IF($A452="","",DATE(YEAR($A452),MONTH($A452),1))</f>
        <v/>
      </c>
    </row>
    <row r="453">
      <c r="A453" s="18" t="n"/>
      <c r="B453" s="13" t="n"/>
      <c r="C453" s="13" t="n"/>
      <c r="D453" s="26" t="n"/>
      <c r="E453" s="12" t="n"/>
      <c r="F453" s="12" t="n"/>
      <c r="G453" s="12" t="n"/>
      <c r="H453" s="12" t="n"/>
      <c r="I453" s="13" t="n"/>
      <c r="J453" s="13" t="n"/>
      <c r="K453" s="12" t="n"/>
      <c r="L453" s="13" t="n"/>
      <c r="M453" s="15">
        <f>IF($A453="","",IF($D453="",1,$D453)*$E453+$F453-$H453)</f>
        <v/>
      </c>
      <c r="N453" s="15">
        <f>IF($A453="","",IF($B453="Etsy",IF($D453="",1,$D453)*Settings!$C$19,0))</f>
        <v/>
      </c>
      <c r="O453" s="15">
        <f>IF($A453="","",IF($B453="Etsy",Settings!$C$20*($M453+IF(Settings!$C$54="Y",0,$H453)),0))</f>
        <v/>
      </c>
      <c r="P453" s="15">
        <f>IF($A453="","",IF($B453="Etsy",Settings!$C$21*$M453*(1+Settings!$C$55)+Settings!$C$22,IF($B453="Shopify",Settings!$C$14*$M453+Settings!$C$15,0)))</f>
        <v/>
      </c>
      <c r="Q453" s="15">
        <f>IF($A453="","",IF(AND($B453="Etsy",$I453="Y"),MIN(Settings!$C$12*($M453+IF(Settings!$C$54="Y",0,$H453)),Settings!$C$25),0))</f>
        <v/>
      </c>
      <c r="R453" s="15">
        <f>IF($A453="","",IF(AND($B453="Etsy",$J453="Y",$L453="Y",$M453&gt;0),($O453+Settings!$C$21*$M453*(1+Settings!$C$55)+IF(Settings!$C$59="Y",$Q453,0))*$T453/$M453+IF(AND(Settings!$C$58="Y",$T453&gt;=$M453),Settings!$C$22,0),0))</f>
        <v/>
      </c>
      <c r="S453" s="15">
        <f>IF($A453="","",$N453+$O453+$P453+$Q453-$R453)</f>
        <v/>
      </c>
      <c r="T453" s="15">
        <f>IF($A453="","",IF($J453="Y",IF($K453="",$M453,MIN($K453,$M453)),0))</f>
        <v/>
      </c>
      <c r="U453" s="15">
        <f>IF($A453="","",IF($D453="",1,$D453)*IFERROR(INDEX(Products!$F$5:$F$54,MATCH($C453,Products!$A$5:$A$54,0)),0))</f>
        <v/>
      </c>
      <c r="V453" s="27">
        <f>IF($A453="","",$M453-$T453-$S453-$U453-$G453)</f>
        <v/>
      </c>
      <c r="W453" s="31">
        <f>IF($A453="","",IF($M453-$T453&gt;0,$V453/($M453-$T453),""))</f>
        <v/>
      </c>
      <c r="X453" s="35">
        <f>IF($A453="","",DATE(YEAR($A453),MONTH($A453),1))</f>
        <v/>
      </c>
    </row>
    <row r="454">
      <c r="A454" s="18" t="n"/>
      <c r="B454" s="13" t="n"/>
      <c r="C454" s="13" t="n"/>
      <c r="D454" s="26" t="n"/>
      <c r="E454" s="12" t="n"/>
      <c r="F454" s="12" t="n"/>
      <c r="G454" s="12" t="n"/>
      <c r="H454" s="12" t="n"/>
      <c r="I454" s="13" t="n"/>
      <c r="J454" s="13" t="n"/>
      <c r="K454" s="12" t="n"/>
      <c r="L454" s="13" t="n"/>
      <c r="M454" s="15">
        <f>IF($A454="","",IF($D454="",1,$D454)*$E454+$F454-$H454)</f>
        <v/>
      </c>
      <c r="N454" s="15">
        <f>IF($A454="","",IF($B454="Etsy",IF($D454="",1,$D454)*Settings!$C$19,0))</f>
        <v/>
      </c>
      <c r="O454" s="15">
        <f>IF($A454="","",IF($B454="Etsy",Settings!$C$20*($M454+IF(Settings!$C$54="Y",0,$H454)),0))</f>
        <v/>
      </c>
      <c r="P454" s="15">
        <f>IF($A454="","",IF($B454="Etsy",Settings!$C$21*$M454*(1+Settings!$C$55)+Settings!$C$22,IF($B454="Shopify",Settings!$C$14*$M454+Settings!$C$15,0)))</f>
        <v/>
      </c>
      <c r="Q454" s="15">
        <f>IF($A454="","",IF(AND($B454="Etsy",$I454="Y"),MIN(Settings!$C$12*($M454+IF(Settings!$C$54="Y",0,$H454)),Settings!$C$25),0))</f>
        <v/>
      </c>
      <c r="R454" s="15">
        <f>IF($A454="","",IF(AND($B454="Etsy",$J454="Y",$L454="Y",$M454&gt;0),($O454+Settings!$C$21*$M454*(1+Settings!$C$55)+IF(Settings!$C$59="Y",$Q454,0))*$T454/$M454+IF(AND(Settings!$C$58="Y",$T454&gt;=$M454),Settings!$C$22,0),0))</f>
        <v/>
      </c>
      <c r="S454" s="15">
        <f>IF($A454="","",$N454+$O454+$P454+$Q454-$R454)</f>
        <v/>
      </c>
      <c r="T454" s="15">
        <f>IF($A454="","",IF($J454="Y",IF($K454="",$M454,MIN($K454,$M454)),0))</f>
        <v/>
      </c>
      <c r="U454" s="15">
        <f>IF($A454="","",IF($D454="",1,$D454)*IFERROR(INDEX(Products!$F$5:$F$54,MATCH($C454,Products!$A$5:$A$54,0)),0))</f>
        <v/>
      </c>
      <c r="V454" s="27">
        <f>IF($A454="","",$M454-$T454-$S454-$U454-$G454)</f>
        <v/>
      </c>
      <c r="W454" s="31">
        <f>IF($A454="","",IF($M454-$T454&gt;0,$V454/($M454-$T454),""))</f>
        <v/>
      </c>
      <c r="X454" s="35">
        <f>IF($A454="","",DATE(YEAR($A454),MONTH($A454),1))</f>
        <v/>
      </c>
    </row>
    <row r="455">
      <c r="A455" s="18" t="n"/>
      <c r="B455" s="13" t="n"/>
      <c r="C455" s="13" t="n"/>
      <c r="D455" s="26" t="n"/>
      <c r="E455" s="12" t="n"/>
      <c r="F455" s="12" t="n"/>
      <c r="G455" s="12" t="n"/>
      <c r="H455" s="12" t="n"/>
      <c r="I455" s="13" t="n"/>
      <c r="J455" s="13" t="n"/>
      <c r="K455" s="12" t="n"/>
      <c r="L455" s="13" t="n"/>
      <c r="M455" s="15">
        <f>IF($A455="","",IF($D455="",1,$D455)*$E455+$F455-$H455)</f>
        <v/>
      </c>
      <c r="N455" s="15">
        <f>IF($A455="","",IF($B455="Etsy",IF($D455="",1,$D455)*Settings!$C$19,0))</f>
        <v/>
      </c>
      <c r="O455" s="15">
        <f>IF($A455="","",IF($B455="Etsy",Settings!$C$20*($M455+IF(Settings!$C$54="Y",0,$H455)),0))</f>
        <v/>
      </c>
      <c r="P455" s="15">
        <f>IF($A455="","",IF($B455="Etsy",Settings!$C$21*$M455*(1+Settings!$C$55)+Settings!$C$22,IF($B455="Shopify",Settings!$C$14*$M455+Settings!$C$15,0)))</f>
        <v/>
      </c>
      <c r="Q455" s="15">
        <f>IF($A455="","",IF(AND($B455="Etsy",$I455="Y"),MIN(Settings!$C$12*($M455+IF(Settings!$C$54="Y",0,$H455)),Settings!$C$25),0))</f>
        <v/>
      </c>
      <c r="R455" s="15">
        <f>IF($A455="","",IF(AND($B455="Etsy",$J455="Y",$L455="Y",$M455&gt;0),($O455+Settings!$C$21*$M455*(1+Settings!$C$55)+IF(Settings!$C$59="Y",$Q455,0))*$T455/$M455+IF(AND(Settings!$C$58="Y",$T455&gt;=$M455),Settings!$C$22,0),0))</f>
        <v/>
      </c>
      <c r="S455" s="15">
        <f>IF($A455="","",$N455+$O455+$P455+$Q455-$R455)</f>
        <v/>
      </c>
      <c r="T455" s="15">
        <f>IF($A455="","",IF($J455="Y",IF($K455="",$M455,MIN($K455,$M455)),0))</f>
        <v/>
      </c>
      <c r="U455" s="15">
        <f>IF($A455="","",IF($D455="",1,$D455)*IFERROR(INDEX(Products!$F$5:$F$54,MATCH($C455,Products!$A$5:$A$54,0)),0))</f>
        <v/>
      </c>
      <c r="V455" s="27">
        <f>IF($A455="","",$M455-$T455-$S455-$U455-$G455)</f>
        <v/>
      </c>
      <c r="W455" s="31">
        <f>IF($A455="","",IF($M455-$T455&gt;0,$V455/($M455-$T455),""))</f>
        <v/>
      </c>
      <c r="X455" s="35">
        <f>IF($A455="","",DATE(YEAR($A455),MONTH($A455),1))</f>
        <v/>
      </c>
    </row>
    <row r="456">
      <c r="A456" s="18" t="n"/>
      <c r="B456" s="13" t="n"/>
      <c r="C456" s="13" t="n"/>
      <c r="D456" s="26" t="n"/>
      <c r="E456" s="12" t="n"/>
      <c r="F456" s="12" t="n"/>
      <c r="G456" s="12" t="n"/>
      <c r="H456" s="12" t="n"/>
      <c r="I456" s="13" t="n"/>
      <c r="J456" s="13" t="n"/>
      <c r="K456" s="12" t="n"/>
      <c r="L456" s="13" t="n"/>
      <c r="M456" s="15">
        <f>IF($A456="","",IF($D456="",1,$D456)*$E456+$F456-$H456)</f>
        <v/>
      </c>
      <c r="N456" s="15">
        <f>IF($A456="","",IF($B456="Etsy",IF($D456="",1,$D456)*Settings!$C$19,0))</f>
        <v/>
      </c>
      <c r="O456" s="15">
        <f>IF($A456="","",IF($B456="Etsy",Settings!$C$20*($M456+IF(Settings!$C$54="Y",0,$H456)),0))</f>
        <v/>
      </c>
      <c r="P456" s="15">
        <f>IF($A456="","",IF($B456="Etsy",Settings!$C$21*$M456*(1+Settings!$C$55)+Settings!$C$22,IF($B456="Shopify",Settings!$C$14*$M456+Settings!$C$15,0)))</f>
        <v/>
      </c>
      <c r="Q456" s="15">
        <f>IF($A456="","",IF(AND($B456="Etsy",$I456="Y"),MIN(Settings!$C$12*($M456+IF(Settings!$C$54="Y",0,$H456)),Settings!$C$25),0))</f>
        <v/>
      </c>
      <c r="R456" s="15">
        <f>IF($A456="","",IF(AND($B456="Etsy",$J456="Y",$L456="Y",$M456&gt;0),($O456+Settings!$C$21*$M456*(1+Settings!$C$55)+IF(Settings!$C$59="Y",$Q456,0))*$T456/$M456+IF(AND(Settings!$C$58="Y",$T456&gt;=$M456),Settings!$C$22,0),0))</f>
        <v/>
      </c>
      <c r="S456" s="15">
        <f>IF($A456="","",$N456+$O456+$P456+$Q456-$R456)</f>
        <v/>
      </c>
      <c r="T456" s="15">
        <f>IF($A456="","",IF($J456="Y",IF($K456="",$M456,MIN($K456,$M456)),0))</f>
        <v/>
      </c>
      <c r="U456" s="15">
        <f>IF($A456="","",IF($D456="",1,$D456)*IFERROR(INDEX(Products!$F$5:$F$54,MATCH($C456,Products!$A$5:$A$54,0)),0))</f>
        <v/>
      </c>
      <c r="V456" s="27">
        <f>IF($A456="","",$M456-$T456-$S456-$U456-$G456)</f>
        <v/>
      </c>
      <c r="W456" s="31">
        <f>IF($A456="","",IF($M456-$T456&gt;0,$V456/($M456-$T456),""))</f>
        <v/>
      </c>
      <c r="X456" s="35">
        <f>IF($A456="","",DATE(YEAR($A456),MONTH($A456),1))</f>
        <v/>
      </c>
    </row>
    <row r="457">
      <c r="A457" s="18" t="n"/>
      <c r="B457" s="13" t="n"/>
      <c r="C457" s="13" t="n"/>
      <c r="D457" s="26" t="n"/>
      <c r="E457" s="12" t="n"/>
      <c r="F457" s="12" t="n"/>
      <c r="G457" s="12" t="n"/>
      <c r="H457" s="12" t="n"/>
      <c r="I457" s="13" t="n"/>
      <c r="J457" s="13" t="n"/>
      <c r="K457" s="12" t="n"/>
      <c r="L457" s="13" t="n"/>
      <c r="M457" s="15">
        <f>IF($A457="","",IF($D457="",1,$D457)*$E457+$F457-$H457)</f>
        <v/>
      </c>
      <c r="N457" s="15">
        <f>IF($A457="","",IF($B457="Etsy",IF($D457="",1,$D457)*Settings!$C$19,0))</f>
        <v/>
      </c>
      <c r="O457" s="15">
        <f>IF($A457="","",IF($B457="Etsy",Settings!$C$20*($M457+IF(Settings!$C$54="Y",0,$H457)),0))</f>
        <v/>
      </c>
      <c r="P457" s="15">
        <f>IF($A457="","",IF($B457="Etsy",Settings!$C$21*$M457*(1+Settings!$C$55)+Settings!$C$22,IF($B457="Shopify",Settings!$C$14*$M457+Settings!$C$15,0)))</f>
        <v/>
      </c>
      <c r="Q457" s="15">
        <f>IF($A457="","",IF(AND($B457="Etsy",$I457="Y"),MIN(Settings!$C$12*($M457+IF(Settings!$C$54="Y",0,$H457)),Settings!$C$25),0))</f>
        <v/>
      </c>
      <c r="R457" s="15">
        <f>IF($A457="","",IF(AND($B457="Etsy",$J457="Y",$L457="Y",$M457&gt;0),($O457+Settings!$C$21*$M457*(1+Settings!$C$55)+IF(Settings!$C$59="Y",$Q457,0))*$T457/$M457+IF(AND(Settings!$C$58="Y",$T457&gt;=$M457),Settings!$C$22,0),0))</f>
        <v/>
      </c>
      <c r="S457" s="15">
        <f>IF($A457="","",$N457+$O457+$P457+$Q457-$R457)</f>
        <v/>
      </c>
      <c r="T457" s="15">
        <f>IF($A457="","",IF($J457="Y",IF($K457="",$M457,MIN($K457,$M457)),0))</f>
        <v/>
      </c>
      <c r="U457" s="15">
        <f>IF($A457="","",IF($D457="",1,$D457)*IFERROR(INDEX(Products!$F$5:$F$54,MATCH($C457,Products!$A$5:$A$54,0)),0))</f>
        <v/>
      </c>
      <c r="V457" s="27">
        <f>IF($A457="","",$M457-$T457-$S457-$U457-$G457)</f>
        <v/>
      </c>
      <c r="W457" s="31">
        <f>IF($A457="","",IF($M457-$T457&gt;0,$V457/($M457-$T457),""))</f>
        <v/>
      </c>
      <c r="X457" s="35">
        <f>IF($A457="","",DATE(YEAR($A457),MONTH($A457),1))</f>
        <v/>
      </c>
    </row>
    <row r="458">
      <c r="A458" s="18" t="n"/>
      <c r="B458" s="13" t="n"/>
      <c r="C458" s="13" t="n"/>
      <c r="D458" s="26" t="n"/>
      <c r="E458" s="12" t="n"/>
      <c r="F458" s="12" t="n"/>
      <c r="G458" s="12" t="n"/>
      <c r="H458" s="12" t="n"/>
      <c r="I458" s="13" t="n"/>
      <c r="J458" s="13" t="n"/>
      <c r="K458" s="12" t="n"/>
      <c r="L458" s="13" t="n"/>
      <c r="M458" s="15">
        <f>IF($A458="","",IF($D458="",1,$D458)*$E458+$F458-$H458)</f>
        <v/>
      </c>
      <c r="N458" s="15">
        <f>IF($A458="","",IF($B458="Etsy",IF($D458="",1,$D458)*Settings!$C$19,0))</f>
        <v/>
      </c>
      <c r="O458" s="15">
        <f>IF($A458="","",IF($B458="Etsy",Settings!$C$20*($M458+IF(Settings!$C$54="Y",0,$H458)),0))</f>
        <v/>
      </c>
      <c r="P458" s="15">
        <f>IF($A458="","",IF($B458="Etsy",Settings!$C$21*$M458*(1+Settings!$C$55)+Settings!$C$22,IF($B458="Shopify",Settings!$C$14*$M458+Settings!$C$15,0)))</f>
        <v/>
      </c>
      <c r="Q458" s="15">
        <f>IF($A458="","",IF(AND($B458="Etsy",$I458="Y"),MIN(Settings!$C$12*($M458+IF(Settings!$C$54="Y",0,$H458)),Settings!$C$25),0))</f>
        <v/>
      </c>
      <c r="R458" s="15">
        <f>IF($A458="","",IF(AND($B458="Etsy",$J458="Y",$L458="Y",$M458&gt;0),($O458+Settings!$C$21*$M458*(1+Settings!$C$55)+IF(Settings!$C$59="Y",$Q458,0))*$T458/$M458+IF(AND(Settings!$C$58="Y",$T458&gt;=$M458),Settings!$C$22,0),0))</f>
        <v/>
      </c>
      <c r="S458" s="15">
        <f>IF($A458="","",$N458+$O458+$P458+$Q458-$R458)</f>
        <v/>
      </c>
      <c r="T458" s="15">
        <f>IF($A458="","",IF($J458="Y",IF($K458="",$M458,MIN($K458,$M458)),0))</f>
        <v/>
      </c>
      <c r="U458" s="15">
        <f>IF($A458="","",IF($D458="",1,$D458)*IFERROR(INDEX(Products!$F$5:$F$54,MATCH($C458,Products!$A$5:$A$54,0)),0))</f>
        <v/>
      </c>
      <c r="V458" s="27">
        <f>IF($A458="","",$M458-$T458-$S458-$U458-$G458)</f>
        <v/>
      </c>
      <c r="W458" s="31">
        <f>IF($A458="","",IF($M458-$T458&gt;0,$V458/($M458-$T458),""))</f>
        <v/>
      </c>
      <c r="X458" s="35">
        <f>IF($A458="","",DATE(YEAR($A458),MONTH($A458),1))</f>
        <v/>
      </c>
    </row>
    <row r="459">
      <c r="A459" s="18" t="n"/>
      <c r="B459" s="13" t="n"/>
      <c r="C459" s="13" t="n"/>
      <c r="D459" s="26" t="n"/>
      <c r="E459" s="12" t="n"/>
      <c r="F459" s="12" t="n"/>
      <c r="G459" s="12" t="n"/>
      <c r="H459" s="12" t="n"/>
      <c r="I459" s="13" t="n"/>
      <c r="J459" s="13" t="n"/>
      <c r="K459" s="12" t="n"/>
      <c r="L459" s="13" t="n"/>
      <c r="M459" s="15">
        <f>IF($A459="","",IF($D459="",1,$D459)*$E459+$F459-$H459)</f>
        <v/>
      </c>
      <c r="N459" s="15">
        <f>IF($A459="","",IF($B459="Etsy",IF($D459="",1,$D459)*Settings!$C$19,0))</f>
        <v/>
      </c>
      <c r="O459" s="15">
        <f>IF($A459="","",IF($B459="Etsy",Settings!$C$20*($M459+IF(Settings!$C$54="Y",0,$H459)),0))</f>
        <v/>
      </c>
      <c r="P459" s="15">
        <f>IF($A459="","",IF($B459="Etsy",Settings!$C$21*$M459*(1+Settings!$C$55)+Settings!$C$22,IF($B459="Shopify",Settings!$C$14*$M459+Settings!$C$15,0)))</f>
        <v/>
      </c>
      <c r="Q459" s="15">
        <f>IF($A459="","",IF(AND($B459="Etsy",$I459="Y"),MIN(Settings!$C$12*($M459+IF(Settings!$C$54="Y",0,$H459)),Settings!$C$25),0))</f>
        <v/>
      </c>
      <c r="R459" s="15">
        <f>IF($A459="","",IF(AND($B459="Etsy",$J459="Y",$L459="Y",$M459&gt;0),($O459+Settings!$C$21*$M459*(1+Settings!$C$55)+IF(Settings!$C$59="Y",$Q459,0))*$T459/$M459+IF(AND(Settings!$C$58="Y",$T459&gt;=$M459),Settings!$C$22,0),0))</f>
        <v/>
      </c>
      <c r="S459" s="15">
        <f>IF($A459="","",$N459+$O459+$P459+$Q459-$R459)</f>
        <v/>
      </c>
      <c r="T459" s="15">
        <f>IF($A459="","",IF($J459="Y",IF($K459="",$M459,MIN($K459,$M459)),0))</f>
        <v/>
      </c>
      <c r="U459" s="15">
        <f>IF($A459="","",IF($D459="",1,$D459)*IFERROR(INDEX(Products!$F$5:$F$54,MATCH($C459,Products!$A$5:$A$54,0)),0))</f>
        <v/>
      </c>
      <c r="V459" s="27">
        <f>IF($A459="","",$M459-$T459-$S459-$U459-$G459)</f>
        <v/>
      </c>
      <c r="W459" s="31">
        <f>IF($A459="","",IF($M459-$T459&gt;0,$V459/($M459-$T459),""))</f>
        <v/>
      </c>
      <c r="X459" s="35">
        <f>IF($A459="","",DATE(YEAR($A459),MONTH($A459),1))</f>
        <v/>
      </c>
    </row>
    <row r="460">
      <c r="A460" s="18" t="n"/>
      <c r="B460" s="13" t="n"/>
      <c r="C460" s="13" t="n"/>
      <c r="D460" s="26" t="n"/>
      <c r="E460" s="12" t="n"/>
      <c r="F460" s="12" t="n"/>
      <c r="G460" s="12" t="n"/>
      <c r="H460" s="12" t="n"/>
      <c r="I460" s="13" t="n"/>
      <c r="J460" s="13" t="n"/>
      <c r="K460" s="12" t="n"/>
      <c r="L460" s="13" t="n"/>
      <c r="M460" s="15">
        <f>IF($A460="","",IF($D460="",1,$D460)*$E460+$F460-$H460)</f>
        <v/>
      </c>
      <c r="N460" s="15">
        <f>IF($A460="","",IF($B460="Etsy",IF($D460="",1,$D460)*Settings!$C$19,0))</f>
        <v/>
      </c>
      <c r="O460" s="15">
        <f>IF($A460="","",IF($B460="Etsy",Settings!$C$20*($M460+IF(Settings!$C$54="Y",0,$H460)),0))</f>
        <v/>
      </c>
      <c r="P460" s="15">
        <f>IF($A460="","",IF($B460="Etsy",Settings!$C$21*$M460*(1+Settings!$C$55)+Settings!$C$22,IF($B460="Shopify",Settings!$C$14*$M460+Settings!$C$15,0)))</f>
        <v/>
      </c>
      <c r="Q460" s="15">
        <f>IF($A460="","",IF(AND($B460="Etsy",$I460="Y"),MIN(Settings!$C$12*($M460+IF(Settings!$C$54="Y",0,$H460)),Settings!$C$25),0))</f>
        <v/>
      </c>
      <c r="R460" s="15">
        <f>IF($A460="","",IF(AND($B460="Etsy",$J460="Y",$L460="Y",$M460&gt;0),($O460+Settings!$C$21*$M460*(1+Settings!$C$55)+IF(Settings!$C$59="Y",$Q460,0))*$T460/$M460+IF(AND(Settings!$C$58="Y",$T460&gt;=$M460),Settings!$C$22,0),0))</f>
        <v/>
      </c>
      <c r="S460" s="15">
        <f>IF($A460="","",$N460+$O460+$P460+$Q460-$R460)</f>
        <v/>
      </c>
      <c r="T460" s="15">
        <f>IF($A460="","",IF($J460="Y",IF($K460="",$M460,MIN($K460,$M460)),0))</f>
        <v/>
      </c>
      <c r="U460" s="15">
        <f>IF($A460="","",IF($D460="",1,$D460)*IFERROR(INDEX(Products!$F$5:$F$54,MATCH($C460,Products!$A$5:$A$54,0)),0))</f>
        <v/>
      </c>
      <c r="V460" s="27">
        <f>IF($A460="","",$M460-$T460-$S460-$U460-$G460)</f>
        <v/>
      </c>
      <c r="W460" s="31">
        <f>IF($A460="","",IF($M460-$T460&gt;0,$V460/($M460-$T460),""))</f>
        <v/>
      </c>
      <c r="X460" s="35">
        <f>IF($A460="","",DATE(YEAR($A460),MONTH($A460),1))</f>
        <v/>
      </c>
    </row>
    <row r="461">
      <c r="A461" s="18" t="n"/>
      <c r="B461" s="13" t="n"/>
      <c r="C461" s="13" t="n"/>
      <c r="D461" s="26" t="n"/>
      <c r="E461" s="12" t="n"/>
      <c r="F461" s="12" t="n"/>
      <c r="G461" s="12" t="n"/>
      <c r="H461" s="12" t="n"/>
      <c r="I461" s="13" t="n"/>
      <c r="J461" s="13" t="n"/>
      <c r="K461" s="12" t="n"/>
      <c r="L461" s="13" t="n"/>
      <c r="M461" s="15">
        <f>IF($A461="","",IF($D461="",1,$D461)*$E461+$F461-$H461)</f>
        <v/>
      </c>
      <c r="N461" s="15">
        <f>IF($A461="","",IF($B461="Etsy",IF($D461="",1,$D461)*Settings!$C$19,0))</f>
        <v/>
      </c>
      <c r="O461" s="15">
        <f>IF($A461="","",IF($B461="Etsy",Settings!$C$20*($M461+IF(Settings!$C$54="Y",0,$H461)),0))</f>
        <v/>
      </c>
      <c r="P461" s="15">
        <f>IF($A461="","",IF($B461="Etsy",Settings!$C$21*$M461*(1+Settings!$C$55)+Settings!$C$22,IF($B461="Shopify",Settings!$C$14*$M461+Settings!$C$15,0)))</f>
        <v/>
      </c>
      <c r="Q461" s="15">
        <f>IF($A461="","",IF(AND($B461="Etsy",$I461="Y"),MIN(Settings!$C$12*($M461+IF(Settings!$C$54="Y",0,$H461)),Settings!$C$25),0))</f>
        <v/>
      </c>
      <c r="R461" s="15">
        <f>IF($A461="","",IF(AND($B461="Etsy",$J461="Y",$L461="Y",$M461&gt;0),($O461+Settings!$C$21*$M461*(1+Settings!$C$55)+IF(Settings!$C$59="Y",$Q461,0))*$T461/$M461+IF(AND(Settings!$C$58="Y",$T461&gt;=$M461),Settings!$C$22,0),0))</f>
        <v/>
      </c>
      <c r="S461" s="15">
        <f>IF($A461="","",$N461+$O461+$P461+$Q461-$R461)</f>
        <v/>
      </c>
      <c r="T461" s="15">
        <f>IF($A461="","",IF($J461="Y",IF($K461="",$M461,MIN($K461,$M461)),0))</f>
        <v/>
      </c>
      <c r="U461" s="15">
        <f>IF($A461="","",IF($D461="",1,$D461)*IFERROR(INDEX(Products!$F$5:$F$54,MATCH($C461,Products!$A$5:$A$54,0)),0))</f>
        <v/>
      </c>
      <c r="V461" s="27">
        <f>IF($A461="","",$M461-$T461-$S461-$U461-$G461)</f>
        <v/>
      </c>
      <c r="W461" s="31">
        <f>IF($A461="","",IF($M461-$T461&gt;0,$V461/($M461-$T461),""))</f>
        <v/>
      </c>
      <c r="X461" s="35">
        <f>IF($A461="","",DATE(YEAR($A461),MONTH($A461),1))</f>
        <v/>
      </c>
    </row>
    <row r="462">
      <c r="A462" s="18" t="n"/>
      <c r="B462" s="13" t="n"/>
      <c r="C462" s="13" t="n"/>
      <c r="D462" s="26" t="n"/>
      <c r="E462" s="12" t="n"/>
      <c r="F462" s="12" t="n"/>
      <c r="G462" s="12" t="n"/>
      <c r="H462" s="12" t="n"/>
      <c r="I462" s="13" t="n"/>
      <c r="J462" s="13" t="n"/>
      <c r="K462" s="12" t="n"/>
      <c r="L462" s="13" t="n"/>
      <c r="M462" s="15">
        <f>IF($A462="","",IF($D462="",1,$D462)*$E462+$F462-$H462)</f>
        <v/>
      </c>
      <c r="N462" s="15">
        <f>IF($A462="","",IF($B462="Etsy",IF($D462="",1,$D462)*Settings!$C$19,0))</f>
        <v/>
      </c>
      <c r="O462" s="15">
        <f>IF($A462="","",IF($B462="Etsy",Settings!$C$20*($M462+IF(Settings!$C$54="Y",0,$H462)),0))</f>
        <v/>
      </c>
      <c r="P462" s="15">
        <f>IF($A462="","",IF($B462="Etsy",Settings!$C$21*$M462*(1+Settings!$C$55)+Settings!$C$22,IF($B462="Shopify",Settings!$C$14*$M462+Settings!$C$15,0)))</f>
        <v/>
      </c>
      <c r="Q462" s="15">
        <f>IF($A462="","",IF(AND($B462="Etsy",$I462="Y"),MIN(Settings!$C$12*($M462+IF(Settings!$C$54="Y",0,$H462)),Settings!$C$25),0))</f>
        <v/>
      </c>
      <c r="R462" s="15">
        <f>IF($A462="","",IF(AND($B462="Etsy",$J462="Y",$L462="Y",$M462&gt;0),($O462+Settings!$C$21*$M462*(1+Settings!$C$55)+IF(Settings!$C$59="Y",$Q462,0))*$T462/$M462+IF(AND(Settings!$C$58="Y",$T462&gt;=$M462),Settings!$C$22,0),0))</f>
        <v/>
      </c>
      <c r="S462" s="15">
        <f>IF($A462="","",$N462+$O462+$P462+$Q462-$R462)</f>
        <v/>
      </c>
      <c r="T462" s="15">
        <f>IF($A462="","",IF($J462="Y",IF($K462="",$M462,MIN($K462,$M462)),0))</f>
        <v/>
      </c>
      <c r="U462" s="15">
        <f>IF($A462="","",IF($D462="",1,$D462)*IFERROR(INDEX(Products!$F$5:$F$54,MATCH($C462,Products!$A$5:$A$54,0)),0))</f>
        <v/>
      </c>
      <c r="V462" s="27">
        <f>IF($A462="","",$M462-$T462-$S462-$U462-$G462)</f>
        <v/>
      </c>
      <c r="W462" s="31">
        <f>IF($A462="","",IF($M462-$T462&gt;0,$V462/($M462-$T462),""))</f>
        <v/>
      </c>
      <c r="X462" s="35">
        <f>IF($A462="","",DATE(YEAR($A462),MONTH($A462),1))</f>
        <v/>
      </c>
    </row>
    <row r="463">
      <c r="A463" s="18" t="n"/>
      <c r="B463" s="13" t="n"/>
      <c r="C463" s="13" t="n"/>
      <c r="D463" s="26" t="n"/>
      <c r="E463" s="12" t="n"/>
      <c r="F463" s="12" t="n"/>
      <c r="G463" s="12" t="n"/>
      <c r="H463" s="12" t="n"/>
      <c r="I463" s="13" t="n"/>
      <c r="J463" s="13" t="n"/>
      <c r="K463" s="12" t="n"/>
      <c r="L463" s="13" t="n"/>
      <c r="M463" s="15">
        <f>IF($A463="","",IF($D463="",1,$D463)*$E463+$F463-$H463)</f>
        <v/>
      </c>
      <c r="N463" s="15">
        <f>IF($A463="","",IF($B463="Etsy",IF($D463="",1,$D463)*Settings!$C$19,0))</f>
        <v/>
      </c>
      <c r="O463" s="15">
        <f>IF($A463="","",IF($B463="Etsy",Settings!$C$20*($M463+IF(Settings!$C$54="Y",0,$H463)),0))</f>
        <v/>
      </c>
      <c r="P463" s="15">
        <f>IF($A463="","",IF($B463="Etsy",Settings!$C$21*$M463*(1+Settings!$C$55)+Settings!$C$22,IF($B463="Shopify",Settings!$C$14*$M463+Settings!$C$15,0)))</f>
        <v/>
      </c>
      <c r="Q463" s="15">
        <f>IF($A463="","",IF(AND($B463="Etsy",$I463="Y"),MIN(Settings!$C$12*($M463+IF(Settings!$C$54="Y",0,$H463)),Settings!$C$25),0))</f>
        <v/>
      </c>
      <c r="R463" s="15">
        <f>IF($A463="","",IF(AND($B463="Etsy",$J463="Y",$L463="Y",$M463&gt;0),($O463+Settings!$C$21*$M463*(1+Settings!$C$55)+IF(Settings!$C$59="Y",$Q463,0))*$T463/$M463+IF(AND(Settings!$C$58="Y",$T463&gt;=$M463),Settings!$C$22,0),0))</f>
        <v/>
      </c>
      <c r="S463" s="15">
        <f>IF($A463="","",$N463+$O463+$P463+$Q463-$R463)</f>
        <v/>
      </c>
      <c r="T463" s="15">
        <f>IF($A463="","",IF($J463="Y",IF($K463="",$M463,MIN($K463,$M463)),0))</f>
        <v/>
      </c>
      <c r="U463" s="15">
        <f>IF($A463="","",IF($D463="",1,$D463)*IFERROR(INDEX(Products!$F$5:$F$54,MATCH($C463,Products!$A$5:$A$54,0)),0))</f>
        <v/>
      </c>
      <c r="V463" s="27">
        <f>IF($A463="","",$M463-$T463-$S463-$U463-$G463)</f>
        <v/>
      </c>
      <c r="W463" s="31">
        <f>IF($A463="","",IF($M463-$T463&gt;0,$V463/($M463-$T463),""))</f>
        <v/>
      </c>
      <c r="X463" s="35">
        <f>IF($A463="","",DATE(YEAR($A463),MONTH($A463),1))</f>
        <v/>
      </c>
    </row>
    <row r="464">
      <c r="A464" s="18" t="n"/>
      <c r="B464" s="13" t="n"/>
      <c r="C464" s="13" t="n"/>
      <c r="D464" s="26" t="n"/>
      <c r="E464" s="12" t="n"/>
      <c r="F464" s="12" t="n"/>
      <c r="G464" s="12" t="n"/>
      <c r="H464" s="12" t="n"/>
      <c r="I464" s="13" t="n"/>
      <c r="J464" s="13" t="n"/>
      <c r="K464" s="12" t="n"/>
      <c r="L464" s="13" t="n"/>
      <c r="M464" s="15">
        <f>IF($A464="","",IF($D464="",1,$D464)*$E464+$F464-$H464)</f>
        <v/>
      </c>
      <c r="N464" s="15">
        <f>IF($A464="","",IF($B464="Etsy",IF($D464="",1,$D464)*Settings!$C$19,0))</f>
        <v/>
      </c>
      <c r="O464" s="15">
        <f>IF($A464="","",IF($B464="Etsy",Settings!$C$20*($M464+IF(Settings!$C$54="Y",0,$H464)),0))</f>
        <v/>
      </c>
      <c r="P464" s="15">
        <f>IF($A464="","",IF($B464="Etsy",Settings!$C$21*$M464*(1+Settings!$C$55)+Settings!$C$22,IF($B464="Shopify",Settings!$C$14*$M464+Settings!$C$15,0)))</f>
        <v/>
      </c>
      <c r="Q464" s="15">
        <f>IF($A464="","",IF(AND($B464="Etsy",$I464="Y"),MIN(Settings!$C$12*($M464+IF(Settings!$C$54="Y",0,$H464)),Settings!$C$25),0))</f>
        <v/>
      </c>
      <c r="R464" s="15">
        <f>IF($A464="","",IF(AND($B464="Etsy",$J464="Y",$L464="Y",$M464&gt;0),($O464+Settings!$C$21*$M464*(1+Settings!$C$55)+IF(Settings!$C$59="Y",$Q464,0))*$T464/$M464+IF(AND(Settings!$C$58="Y",$T464&gt;=$M464),Settings!$C$22,0),0))</f>
        <v/>
      </c>
      <c r="S464" s="15">
        <f>IF($A464="","",$N464+$O464+$P464+$Q464-$R464)</f>
        <v/>
      </c>
      <c r="T464" s="15">
        <f>IF($A464="","",IF($J464="Y",IF($K464="",$M464,MIN($K464,$M464)),0))</f>
        <v/>
      </c>
      <c r="U464" s="15">
        <f>IF($A464="","",IF($D464="",1,$D464)*IFERROR(INDEX(Products!$F$5:$F$54,MATCH($C464,Products!$A$5:$A$54,0)),0))</f>
        <v/>
      </c>
      <c r="V464" s="27">
        <f>IF($A464="","",$M464-$T464-$S464-$U464-$G464)</f>
        <v/>
      </c>
      <c r="W464" s="31">
        <f>IF($A464="","",IF($M464-$T464&gt;0,$V464/($M464-$T464),""))</f>
        <v/>
      </c>
      <c r="X464" s="35">
        <f>IF($A464="","",DATE(YEAR($A464),MONTH($A464),1))</f>
        <v/>
      </c>
    </row>
    <row r="465">
      <c r="A465" s="18" t="n"/>
      <c r="B465" s="13" t="n"/>
      <c r="C465" s="13" t="n"/>
      <c r="D465" s="26" t="n"/>
      <c r="E465" s="12" t="n"/>
      <c r="F465" s="12" t="n"/>
      <c r="G465" s="12" t="n"/>
      <c r="H465" s="12" t="n"/>
      <c r="I465" s="13" t="n"/>
      <c r="J465" s="13" t="n"/>
      <c r="K465" s="12" t="n"/>
      <c r="L465" s="13" t="n"/>
      <c r="M465" s="15">
        <f>IF($A465="","",IF($D465="",1,$D465)*$E465+$F465-$H465)</f>
        <v/>
      </c>
      <c r="N465" s="15">
        <f>IF($A465="","",IF($B465="Etsy",IF($D465="",1,$D465)*Settings!$C$19,0))</f>
        <v/>
      </c>
      <c r="O465" s="15">
        <f>IF($A465="","",IF($B465="Etsy",Settings!$C$20*($M465+IF(Settings!$C$54="Y",0,$H465)),0))</f>
        <v/>
      </c>
      <c r="P465" s="15">
        <f>IF($A465="","",IF($B465="Etsy",Settings!$C$21*$M465*(1+Settings!$C$55)+Settings!$C$22,IF($B465="Shopify",Settings!$C$14*$M465+Settings!$C$15,0)))</f>
        <v/>
      </c>
      <c r="Q465" s="15">
        <f>IF($A465="","",IF(AND($B465="Etsy",$I465="Y"),MIN(Settings!$C$12*($M465+IF(Settings!$C$54="Y",0,$H465)),Settings!$C$25),0))</f>
        <v/>
      </c>
      <c r="R465" s="15">
        <f>IF($A465="","",IF(AND($B465="Etsy",$J465="Y",$L465="Y",$M465&gt;0),($O465+Settings!$C$21*$M465*(1+Settings!$C$55)+IF(Settings!$C$59="Y",$Q465,0))*$T465/$M465+IF(AND(Settings!$C$58="Y",$T465&gt;=$M465),Settings!$C$22,0),0))</f>
        <v/>
      </c>
      <c r="S465" s="15">
        <f>IF($A465="","",$N465+$O465+$P465+$Q465-$R465)</f>
        <v/>
      </c>
      <c r="T465" s="15">
        <f>IF($A465="","",IF($J465="Y",IF($K465="",$M465,MIN($K465,$M465)),0))</f>
        <v/>
      </c>
      <c r="U465" s="15">
        <f>IF($A465="","",IF($D465="",1,$D465)*IFERROR(INDEX(Products!$F$5:$F$54,MATCH($C465,Products!$A$5:$A$54,0)),0))</f>
        <v/>
      </c>
      <c r="V465" s="27">
        <f>IF($A465="","",$M465-$T465-$S465-$U465-$G465)</f>
        <v/>
      </c>
      <c r="W465" s="31">
        <f>IF($A465="","",IF($M465-$T465&gt;0,$V465/($M465-$T465),""))</f>
        <v/>
      </c>
      <c r="X465" s="35">
        <f>IF($A465="","",DATE(YEAR($A465),MONTH($A465),1))</f>
        <v/>
      </c>
    </row>
    <row r="466">
      <c r="A466" s="18" t="n"/>
      <c r="B466" s="13" t="n"/>
      <c r="C466" s="13" t="n"/>
      <c r="D466" s="26" t="n"/>
      <c r="E466" s="12" t="n"/>
      <c r="F466" s="12" t="n"/>
      <c r="G466" s="12" t="n"/>
      <c r="H466" s="12" t="n"/>
      <c r="I466" s="13" t="n"/>
      <c r="J466" s="13" t="n"/>
      <c r="K466" s="12" t="n"/>
      <c r="L466" s="13" t="n"/>
      <c r="M466" s="15">
        <f>IF($A466="","",IF($D466="",1,$D466)*$E466+$F466-$H466)</f>
        <v/>
      </c>
      <c r="N466" s="15">
        <f>IF($A466="","",IF($B466="Etsy",IF($D466="",1,$D466)*Settings!$C$19,0))</f>
        <v/>
      </c>
      <c r="O466" s="15">
        <f>IF($A466="","",IF($B466="Etsy",Settings!$C$20*($M466+IF(Settings!$C$54="Y",0,$H466)),0))</f>
        <v/>
      </c>
      <c r="P466" s="15">
        <f>IF($A466="","",IF($B466="Etsy",Settings!$C$21*$M466*(1+Settings!$C$55)+Settings!$C$22,IF($B466="Shopify",Settings!$C$14*$M466+Settings!$C$15,0)))</f>
        <v/>
      </c>
      <c r="Q466" s="15">
        <f>IF($A466="","",IF(AND($B466="Etsy",$I466="Y"),MIN(Settings!$C$12*($M466+IF(Settings!$C$54="Y",0,$H466)),Settings!$C$25),0))</f>
        <v/>
      </c>
      <c r="R466" s="15">
        <f>IF($A466="","",IF(AND($B466="Etsy",$J466="Y",$L466="Y",$M466&gt;0),($O466+Settings!$C$21*$M466*(1+Settings!$C$55)+IF(Settings!$C$59="Y",$Q466,0))*$T466/$M466+IF(AND(Settings!$C$58="Y",$T466&gt;=$M466),Settings!$C$22,0),0))</f>
        <v/>
      </c>
      <c r="S466" s="15">
        <f>IF($A466="","",$N466+$O466+$P466+$Q466-$R466)</f>
        <v/>
      </c>
      <c r="T466" s="15">
        <f>IF($A466="","",IF($J466="Y",IF($K466="",$M466,MIN($K466,$M466)),0))</f>
        <v/>
      </c>
      <c r="U466" s="15">
        <f>IF($A466="","",IF($D466="",1,$D466)*IFERROR(INDEX(Products!$F$5:$F$54,MATCH($C466,Products!$A$5:$A$54,0)),0))</f>
        <v/>
      </c>
      <c r="V466" s="27">
        <f>IF($A466="","",$M466-$T466-$S466-$U466-$G466)</f>
        <v/>
      </c>
      <c r="W466" s="31">
        <f>IF($A466="","",IF($M466-$T466&gt;0,$V466/($M466-$T466),""))</f>
        <v/>
      </c>
      <c r="X466" s="35">
        <f>IF($A466="","",DATE(YEAR($A466),MONTH($A466),1))</f>
        <v/>
      </c>
    </row>
    <row r="467">
      <c r="A467" s="18" t="n"/>
      <c r="B467" s="13" t="n"/>
      <c r="C467" s="13" t="n"/>
      <c r="D467" s="26" t="n"/>
      <c r="E467" s="12" t="n"/>
      <c r="F467" s="12" t="n"/>
      <c r="G467" s="12" t="n"/>
      <c r="H467" s="12" t="n"/>
      <c r="I467" s="13" t="n"/>
      <c r="J467" s="13" t="n"/>
      <c r="K467" s="12" t="n"/>
      <c r="L467" s="13" t="n"/>
      <c r="M467" s="15">
        <f>IF($A467="","",IF($D467="",1,$D467)*$E467+$F467-$H467)</f>
        <v/>
      </c>
      <c r="N467" s="15">
        <f>IF($A467="","",IF($B467="Etsy",IF($D467="",1,$D467)*Settings!$C$19,0))</f>
        <v/>
      </c>
      <c r="O467" s="15">
        <f>IF($A467="","",IF($B467="Etsy",Settings!$C$20*($M467+IF(Settings!$C$54="Y",0,$H467)),0))</f>
        <v/>
      </c>
      <c r="P467" s="15">
        <f>IF($A467="","",IF($B467="Etsy",Settings!$C$21*$M467*(1+Settings!$C$55)+Settings!$C$22,IF($B467="Shopify",Settings!$C$14*$M467+Settings!$C$15,0)))</f>
        <v/>
      </c>
      <c r="Q467" s="15">
        <f>IF($A467="","",IF(AND($B467="Etsy",$I467="Y"),MIN(Settings!$C$12*($M467+IF(Settings!$C$54="Y",0,$H467)),Settings!$C$25),0))</f>
        <v/>
      </c>
      <c r="R467" s="15">
        <f>IF($A467="","",IF(AND($B467="Etsy",$J467="Y",$L467="Y",$M467&gt;0),($O467+Settings!$C$21*$M467*(1+Settings!$C$55)+IF(Settings!$C$59="Y",$Q467,0))*$T467/$M467+IF(AND(Settings!$C$58="Y",$T467&gt;=$M467),Settings!$C$22,0),0))</f>
        <v/>
      </c>
      <c r="S467" s="15">
        <f>IF($A467="","",$N467+$O467+$P467+$Q467-$R467)</f>
        <v/>
      </c>
      <c r="T467" s="15">
        <f>IF($A467="","",IF($J467="Y",IF($K467="",$M467,MIN($K467,$M467)),0))</f>
        <v/>
      </c>
      <c r="U467" s="15">
        <f>IF($A467="","",IF($D467="",1,$D467)*IFERROR(INDEX(Products!$F$5:$F$54,MATCH($C467,Products!$A$5:$A$54,0)),0))</f>
        <v/>
      </c>
      <c r="V467" s="27">
        <f>IF($A467="","",$M467-$T467-$S467-$U467-$G467)</f>
        <v/>
      </c>
      <c r="W467" s="31">
        <f>IF($A467="","",IF($M467-$T467&gt;0,$V467/($M467-$T467),""))</f>
        <v/>
      </c>
      <c r="X467" s="35">
        <f>IF($A467="","",DATE(YEAR($A467),MONTH($A467),1))</f>
        <v/>
      </c>
    </row>
    <row r="468">
      <c r="A468" s="18" t="n"/>
      <c r="B468" s="13" t="n"/>
      <c r="C468" s="13" t="n"/>
      <c r="D468" s="26" t="n"/>
      <c r="E468" s="12" t="n"/>
      <c r="F468" s="12" t="n"/>
      <c r="G468" s="12" t="n"/>
      <c r="H468" s="12" t="n"/>
      <c r="I468" s="13" t="n"/>
      <c r="J468" s="13" t="n"/>
      <c r="K468" s="12" t="n"/>
      <c r="L468" s="13" t="n"/>
      <c r="M468" s="15">
        <f>IF($A468="","",IF($D468="",1,$D468)*$E468+$F468-$H468)</f>
        <v/>
      </c>
      <c r="N468" s="15">
        <f>IF($A468="","",IF($B468="Etsy",IF($D468="",1,$D468)*Settings!$C$19,0))</f>
        <v/>
      </c>
      <c r="O468" s="15">
        <f>IF($A468="","",IF($B468="Etsy",Settings!$C$20*($M468+IF(Settings!$C$54="Y",0,$H468)),0))</f>
        <v/>
      </c>
      <c r="P468" s="15">
        <f>IF($A468="","",IF($B468="Etsy",Settings!$C$21*$M468*(1+Settings!$C$55)+Settings!$C$22,IF($B468="Shopify",Settings!$C$14*$M468+Settings!$C$15,0)))</f>
        <v/>
      </c>
      <c r="Q468" s="15">
        <f>IF($A468="","",IF(AND($B468="Etsy",$I468="Y"),MIN(Settings!$C$12*($M468+IF(Settings!$C$54="Y",0,$H468)),Settings!$C$25),0))</f>
        <v/>
      </c>
      <c r="R468" s="15">
        <f>IF($A468="","",IF(AND($B468="Etsy",$J468="Y",$L468="Y",$M468&gt;0),($O468+Settings!$C$21*$M468*(1+Settings!$C$55)+IF(Settings!$C$59="Y",$Q468,0))*$T468/$M468+IF(AND(Settings!$C$58="Y",$T468&gt;=$M468),Settings!$C$22,0),0))</f>
        <v/>
      </c>
      <c r="S468" s="15">
        <f>IF($A468="","",$N468+$O468+$P468+$Q468-$R468)</f>
        <v/>
      </c>
      <c r="T468" s="15">
        <f>IF($A468="","",IF($J468="Y",IF($K468="",$M468,MIN($K468,$M468)),0))</f>
        <v/>
      </c>
      <c r="U468" s="15">
        <f>IF($A468="","",IF($D468="",1,$D468)*IFERROR(INDEX(Products!$F$5:$F$54,MATCH($C468,Products!$A$5:$A$54,0)),0))</f>
        <v/>
      </c>
      <c r="V468" s="27">
        <f>IF($A468="","",$M468-$T468-$S468-$U468-$G468)</f>
        <v/>
      </c>
      <c r="W468" s="31">
        <f>IF($A468="","",IF($M468-$T468&gt;0,$V468/($M468-$T468),""))</f>
        <v/>
      </c>
      <c r="X468" s="35">
        <f>IF($A468="","",DATE(YEAR($A468),MONTH($A468),1))</f>
        <v/>
      </c>
    </row>
    <row r="469">
      <c r="A469" s="18" t="n"/>
      <c r="B469" s="13" t="n"/>
      <c r="C469" s="13" t="n"/>
      <c r="D469" s="26" t="n"/>
      <c r="E469" s="12" t="n"/>
      <c r="F469" s="12" t="n"/>
      <c r="G469" s="12" t="n"/>
      <c r="H469" s="12" t="n"/>
      <c r="I469" s="13" t="n"/>
      <c r="J469" s="13" t="n"/>
      <c r="K469" s="12" t="n"/>
      <c r="L469" s="13" t="n"/>
      <c r="M469" s="15">
        <f>IF($A469="","",IF($D469="",1,$D469)*$E469+$F469-$H469)</f>
        <v/>
      </c>
      <c r="N469" s="15">
        <f>IF($A469="","",IF($B469="Etsy",IF($D469="",1,$D469)*Settings!$C$19,0))</f>
        <v/>
      </c>
      <c r="O469" s="15">
        <f>IF($A469="","",IF($B469="Etsy",Settings!$C$20*($M469+IF(Settings!$C$54="Y",0,$H469)),0))</f>
        <v/>
      </c>
      <c r="P469" s="15">
        <f>IF($A469="","",IF($B469="Etsy",Settings!$C$21*$M469*(1+Settings!$C$55)+Settings!$C$22,IF($B469="Shopify",Settings!$C$14*$M469+Settings!$C$15,0)))</f>
        <v/>
      </c>
      <c r="Q469" s="15">
        <f>IF($A469="","",IF(AND($B469="Etsy",$I469="Y"),MIN(Settings!$C$12*($M469+IF(Settings!$C$54="Y",0,$H469)),Settings!$C$25),0))</f>
        <v/>
      </c>
      <c r="R469" s="15">
        <f>IF($A469="","",IF(AND($B469="Etsy",$J469="Y",$L469="Y",$M469&gt;0),($O469+Settings!$C$21*$M469*(1+Settings!$C$55)+IF(Settings!$C$59="Y",$Q469,0))*$T469/$M469+IF(AND(Settings!$C$58="Y",$T469&gt;=$M469),Settings!$C$22,0),0))</f>
        <v/>
      </c>
      <c r="S469" s="15">
        <f>IF($A469="","",$N469+$O469+$P469+$Q469-$R469)</f>
        <v/>
      </c>
      <c r="T469" s="15">
        <f>IF($A469="","",IF($J469="Y",IF($K469="",$M469,MIN($K469,$M469)),0))</f>
        <v/>
      </c>
      <c r="U469" s="15">
        <f>IF($A469="","",IF($D469="",1,$D469)*IFERROR(INDEX(Products!$F$5:$F$54,MATCH($C469,Products!$A$5:$A$54,0)),0))</f>
        <v/>
      </c>
      <c r="V469" s="27">
        <f>IF($A469="","",$M469-$T469-$S469-$U469-$G469)</f>
        <v/>
      </c>
      <c r="W469" s="31">
        <f>IF($A469="","",IF($M469-$T469&gt;0,$V469/($M469-$T469),""))</f>
        <v/>
      </c>
      <c r="X469" s="35">
        <f>IF($A469="","",DATE(YEAR($A469),MONTH($A469),1))</f>
        <v/>
      </c>
    </row>
    <row r="470">
      <c r="A470" s="18" t="n"/>
      <c r="B470" s="13" t="n"/>
      <c r="C470" s="13" t="n"/>
      <c r="D470" s="26" t="n"/>
      <c r="E470" s="12" t="n"/>
      <c r="F470" s="12" t="n"/>
      <c r="G470" s="12" t="n"/>
      <c r="H470" s="12" t="n"/>
      <c r="I470" s="13" t="n"/>
      <c r="J470" s="13" t="n"/>
      <c r="K470" s="12" t="n"/>
      <c r="L470" s="13" t="n"/>
      <c r="M470" s="15">
        <f>IF($A470="","",IF($D470="",1,$D470)*$E470+$F470-$H470)</f>
        <v/>
      </c>
      <c r="N470" s="15">
        <f>IF($A470="","",IF($B470="Etsy",IF($D470="",1,$D470)*Settings!$C$19,0))</f>
        <v/>
      </c>
      <c r="O470" s="15">
        <f>IF($A470="","",IF($B470="Etsy",Settings!$C$20*($M470+IF(Settings!$C$54="Y",0,$H470)),0))</f>
        <v/>
      </c>
      <c r="P470" s="15">
        <f>IF($A470="","",IF($B470="Etsy",Settings!$C$21*$M470*(1+Settings!$C$55)+Settings!$C$22,IF($B470="Shopify",Settings!$C$14*$M470+Settings!$C$15,0)))</f>
        <v/>
      </c>
      <c r="Q470" s="15">
        <f>IF($A470="","",IF(AND($B470="Etsy",$I470="Y"),MIN(Settings!$C$12*($M470+IF(Settings!$C$54="Y",0,$H470)),Settings!$C$25),0))</f>
        <v/>
      </c>
      <c r="R470" s="15">
        <f>IF($A470="","",IF(AND($B470="Etsy",$J470="Y",$L470="Y",$M470&gt;0),($O470+Settings!$C$21*$M470*(1+Settings!$C$55)+IF(Settings!$C$59="Y",$Q470,0))*$T470/$M470+IF(AND(Settings!$C$58="Y",$T470&gt;=$M470),Settings!$C$22,0),0))</f>
        <v/>
      </c>
      <c r="S470" s="15">
        <f>IF($A470="","",$N470+$O470+$P470+$Q470-$R470)</f>
        <v/>
      </c>
      <c r="T470" s="15">
        <f>IF($A470="","",IF($J470="Y",IF($K470="",$M470,MIN($K470,$M470)),0))</f>
        <v/>
      </c>
      <c r="U470" s="15">
        <f>IF($A470="","",IF($D470="",1,$D470)*IFERROR(INDEX(Products!$F$5:$F$54,MATCH($C470,Products!$A$5:$A$54,0)),0))</f>
        <v/>
      </c>
      <c r="V470" s="27">
        <f>IF($A470="","",$M470-$T470-$S470-$U470-$G470)</f>
        <v/>
      </c>
      <c r="W470" s="31">
        <f>IF($A470="","",IF($M470-$T470&gt;0,$V470/($M470-$T470),""))</f>
        <v/>
      </c>
      <c r="X470" s="35">
        <f>IF($A470="","",DATE(YEAR($A470),MONTH($A470),1))</f>
        <v/>
      </c>
    </row>
    <row r="471">
      <c r="A471" s="18" t="n"/>
      <c r="B471" s="13" t="n"/>
      <c r="C471" s="13" t="n"/>
      <c r="D471" s="26" t="n"/>
      <c r="E471" s="12" t="n"/>
      <c r="F471" s="12" t="n"/>
      <c r="G471" s="12" t="n"/>
      <c r="H471" s="12" t="n"/>
      <c r="I471" s="13" t="n"/>
      <c r="J471" s="13" t="n"/>
      <c r="K471" s="12" t="n"/>
      <c r="L471" s="13" t="n"/>
      <c r="M471" s="15">
        <f>IF($A471="","",IF($D471="",1,$D471)*$E471+$F471-$H471)</f>
        <v/>
      </c>
      <c r="N471" s="15">
        <f>IF($A471="","",IF($B471="Etsy",IF($D471="",1,$D471)*Settings!$C$19,0))</f>
        <v/>
      </c>
      <c r="O471" s="15">
        <f>IF($A471="","",IF($B471="Etsy",Settings!$C$20*($M471+IF(Settings!$C$54="Y",0,$H471)),0))</f>
        <v/>
      </c>
      <c r="P471" s="15">
        <f>IF($A471="","",IF($B471="Etsy",Settings!$C$21*$M471*(1+Settings!$C$55)+Settings!$C$22,IF($B471="Shopify",Settings!$C$14*$M471+Settings!$C$15,0)))</f>
        <v/>
      </c>
      <c r="Q471" s="15">
        <f>IF($A471="","",IF(AND($B471="Etsy",$I471="Y"),MIN(Settings!$C$12*($M471+IF(Settings!$C$54="Y",0,$H471)),Settings!$C$25),0))</f>
        <v/>
      </c>
      <c r="R471" s="15">
        <f>IF($A471="","",IF(AND($B471="Etsy",$J471="Y",$L471="Y",$M471&gt;0),($O471+Settings!$C$21*$M471*(1+Settings!$C$55)+IF(Settings!$C$59="Y",$Q471,0))*$T471/$M471+IF(AND(Settings!$C$58="Y",$T471&gt;=$M471),Settings!$C$22,0),0))</f>
        <v/>
      </c>
      <c r="S471" s="15">
        <f>IF($A471="","",$N471+$O471+$P471+$Q471-$R471)</f>
        <v/>
      </c>
      <c r="T471" s="15">
        <f>IF($A471="","",IF($J471="Y",IF($K471="",$M471,MIN($K471,$M471)),0))</f>
        <v/>
      </c>
      <c r="U471" s="15">
        <f>IF($A471="","",IF($D471="",1,$D471)*IFERROR(INDEX(Products!$F$5:$F$54,MATCH($C471,Products!$A$5:$A$54,0)),0))</f>
        <v/>
      </c>
      <c r="V471" s="27">
        <f>IF($A471="","",$M471-$T471-$S471-$U471-$G471)</f>
        <v/>
      </c>
      <c r="W471" s="31">
        <f>IF($A471="","",IF($M471-$T471&gt;0,$V471/($M471-$T471),""))</f>
        <v/>
      </c>
      <c r="X471" s="35">
        <f>IF($A471="","",DATE(YEAR($A471),MONTH($A471),1))</f>
        <v/>
      </c>
    </row>
    <row r="472">
      <c r="A472" s="18" t="n"/>
      <c r="B472" s="13" t="n"/>
      <c r="C472" s="13" t="n"/>
      <c r="D472" s="26" t="n"/>
      <c r="E472" s="12" t="n"/>
      <c r="F472" s="12" t="n"/>
      <c r="G472" s="12" t="n"/>
      <c r="H472" s="12" t="n"/>
      <c r="I472" s="13" t="n"/>
      <c r="J472" s="13" t="n"/>
      <c r="K472" s="12" t="n"/>
      <c r="L472" s="13" t="n"/>
      <c r="M472" s="15">
        <f>IF($A472="","",IF($D472="",1,$D472)*$E472+$F472-$H472)</f>
        <v/>
      </c>
      <c r="N472" s="15">
        <f>IF($A472="","",IF($B472="Etsy",IF($D472="",1,$D472)*Settings!$C$19,0))</f>
        <v/>
      </c>
      <c r="O472" s="15">
        <f>IF($A472="","",IF($B472="Etsy",Settings!$C$20*($M472+IF(Settings!$C$54="Y",0,$H472)),0))</f>
        <v/>
      </c>
      <c r="P472" s="15">
        <f>IF($A472="","",IF($B472="Etsy",Settings!$C$21*$M472*(1+Settings!$C$55)+Settings!$C$22,IF($B472="Shopify",Settings!$C$14*$M472+Settings!$C$15,0)))</f>
        <v/>
      </c>
      <c r="Q472" s="15">
        <f>IF($A472="","",IF(AND($B472="Etsy",$I472="Y"),MIN(Settings!$C$12*($M472+IF(Settings!$C$54="Y",0,$H472)),Settings!$C$25),0))</f>
        <v/>
      </c>
      <c r="R472" s="15">
        <f>IF($A472="","",IF(AND($B472="Etsy",$J472="Y",$L472="Y",$M472&gt;0),($O472+Settings!$C$21*$M472*(1+Settings!$C$55)+IF(Settings!$C$59="Y",$Q472,0))*$T472/$M472+IF(AND(Settings!$C$58="Y",$T472&gt;=$M472),Settings!$C$22,0),0))</f>
        <v/>
      </c>
      <c r="S472" s="15">
        <f>IF($A472="","",$N472+$O472+$P472+$Q472-$R472)</f>
        <v/>
      </c>
      <c r="T472" s="15">
        <f>IF($A472="","",IF($J472="Y",IF($K472="",$M472,MIN($K472,$M472)),0))</f>
        <v/>
      </c>
      <c r="U472" s="15">
        <f>IF($A472="","",IF($D472="",1,$D472)*IFERROR(INDEX(Products!$F$5:$F$54,MATCH($C472,Products!$A$5:$A$54,0)),0))</f>
        <v/>
      </c>
      <c r="V472" s="27">
        <f>IF($A472="","",$M472-$T472-$S472-$U472-$G472)</f>
        <v/>
      </c>
      <c r="W472" s="31">
        <f>IF($A472="","",IF($M472-$T472&gt;0,$V472/($M472-$T472),""))</f>
        <v/>
      </c>
      <c r="X472" s="35">
        <f>IF($A472="","",DATE(YEAR($A472),MONTH($A472),1))</f>
        <v/>
      </c>
    </row>
    <row r="473">
      <c r="A473" s="18" t="n"/>
      <c r="B473" s="13" t="n"/>
      <c r="C473" s="13" t="n"/>
      <c r="D473" s="26" t="n"/>
      <c r="E473" s="12" t="n"/>
      <c r="F473" s="12" t="n"/>
      <c r="G473" s="12" t="n"/>
      <c r="H473" s="12" t="n"/>
      <c r="I473" s="13" t="n"/>
      <c r="J473" s="13" t="n"/>
      <c r="K473" s="12" t="n"/>
      <c r="L473" s="13" t="n"/>
      <c r="M473" s="15">
        <f>IF($A473="","",IF($D473="",1,$D473)*$E473+$F473-$H473)</f>
        <v/>
      </c>
      <c r="N473" s="15">
        <f>IF($A473="","",IF($B473="Etsy",IF($D473="",1,$D473)*Settings!$C$19,0))</f>
        <v/>
      </c>
      <c r="O473" s="15">
        <f>IF($A473="","",IF($B473="Etsy",Settings!$C$20*($M473+IF(Settings!$C$54="Y",0,$H473)),0))</f>
        <v/>
      </c>
      <c r="P473" s="15">
        <f>IF($A473="","",IF($B473="Etsy",Settings!$C$21*$M473*(1+Settings!$C$55)+Settings!$C$22,IF($B473="Shopify",Settings!$C$14*$M473+Settings!$C$15,0)))</f>
        <v/>
      </c>
      <c r="Q473" s="15">
        <f>IF($A473="","",IF(AND($B473="Etsy",$I473="Y"),MIN(Settings!$C$12*($M473+IF(Settings!$C$54="Y",0,$H473)),Settings!$C$25),0))</f>
        <v/>
      </c>
      <c r="R473" s="15">
        <f>IF($A473="","",IF(AND($B473="Etsy",$J473="Y",$L473="Y",$M473&gt;0),($O473+Settings!$C$21*$M473*(1+Settings!$C$55)+IF(Settings!$C$59="Y",$Q473,0))*$T473/$M473+IF(AND(Settings!$C$58="Y",$T473&gt;=$M473),Settings!$C$22,0),0))</f>
        <v/>
      </c>
      <c r="S473" s="15">
        <f>IF($A473="","",$N473+$O473+$P473+$Q473-$R473)</f>
        <v/>
      </c>
      <c r="T473" s="15">
        <f>IF($A473="","",IF($J473="Y",IF($K473="",$M473,MIN($K473,$M473)),0))</f>
        <v/>
      </c>
      <c r="U473" s="15">
        <f>IF($A473="","",IF($D473="",1,$D473)*IFERROR(INDEX(Products!$F$5:$F$54,MATCH($C473,Products!$A$5:$A$54,0)),0))</f>
        <v/>
      </c>
      <c r="V473" s="27">
        <f>IF($A473="","",$M473-$T473-$S473-$U473-$G473)</f>
        <v/>
      </c>
      <c r="W473" s="31">
        <f>IF($A473="","",IF($M473-$T473&gt;0,$V473/($M473-$T473),""))</f>
        <v/>
      </c>
      <c r="X473" s="35">
        <f>IF($A473="","",DATE(YEAR($A473),MONTH($A473),1))</f>
        <v/>
      </c>
    </row>
    <row r="474">
      <c r="A474" s="18" t="n"/>
      <c r="B474" s="13" t="n"/>
      <c r="C474" s="13" t="n"/>
      <c r="D474" s="26" t="n"/>
      <c r="E474" s="12" t="n"/>
      <c r="F474" s="12" t="n"/>
      <c r="G474" s="12" t="n"/>
      <c r="H474" s="12" t="n"/>
      <c r="I474" s="13" t="n"/>
      <c r="J474" s="13" t="n"/>
      <c r="K474" s="12" t="n"/>
      <c r="L474" s="13" t="n"/>
      <c r="M474" s="15">
        <f>IF($A474="","",IF($D474="",1,$D474)*$E474+$F474-$H474)</f>
        <v/>
      </c>
      <c r="N474" s="15">
        <f>IF($A474="","",IF($B474="Etsy",IF($D474="",1,$D474)*Settings!$C$19,0))</f>
        <v/>
      </c>
      <c r="O474" s="15">
        <f>IF($A474="","",IF($B474="Etsy",Settings!$C$20*($M474+IF(Settings!$C$54="Y",0,$H474)),0))</f>
        <v/>
      </c>
      <c r="P474" s="15">
        <f>IF($A474="","",IF($B474="Etsy",Settings!$C$21*$M474*(1+Settings!$C$55)+Settings!$C$22,IF($B474="Shopify",Settings!$C$14*$M474+Settings!$C$15,0)))</f>
        <v/>
      </c>
      <c r="Q474" s="15">
        <f>IF($A474="","",IF(AND($B474="Etsy",$I474="Y"),MIN(Settings!$C$12*($M474+IF(Settings!$C$54="Y",0,$H474)),Settings!$C$25),0))</f>
        <v/>
      </c>
      <c r="R474" s="15">
        <f>IF($A474="","",IF(AND($B474="Etsy",$J474="Y",$L474="Y",$M474&gt;0),($O474+Settings!$C$21*$M474*(1+Settings!$C$55)+IF(Settings!$C$59="Y",$Q474,0))*$T474/$M474+IF(AND(Settings!$C$58="Y",$T474&gt;=$M474),Settings!$C$22,0),0))</f>
        <v/>
      </c>
      <c r="S474" s="15">
        <f>IF($A474="","",$N474+$O474+$P474+$Q474-$R474)</f>
        <v/>
      </c>
      <c r="T474" s="15">
        <f>IF($A474="","",IF($J474="Y",IF($K474="",$M474,MIN($K474,$M474)),0))</f>
        <v/>
      </c>
      <c r="U474" s="15">
        <f>IF($A474="","",IF($D474="",1,$D474)*IFERROR(INDEX(Products!$F$5:$F$54,MATCH($C474,Products!$A$5:$A$54,0)),0))</f>
        <v/>
      </c>
      <c r="V474" s="27">
        <f>IF($A474="","",$M474-$T474-$S474-$U474-$G474)</f>
        <v/>
      </c>
      <c r="W474" s="31">
        <f>IF($A474="","",IF($M474-$T474&gt;0,$V474/($M474-$T474),""))</f>
        <v/>
      </c>
      <c r="X474" s="35">
        <f>IF($A474="","",DATE(YEAR($A474),MONTH($A474),1))</f>
        <v/>
      </c>
    </row>
    <row r="475">
      <c r="A475" s="18" t="n"/>
      <c r="B475" s="13" t="n"/>
      <c r="C475" s="13" t="n"/>
      <c r="D475" s="26" t="n"/>
      <c r="E475" s="12" t="n"/>
      <c r="F475" s="12" t="n"/>
      <c r="G475" s="12" t="n"/>
      <c r="H475" s="12" t="n"/>
      <c r="I475" s="13" t="n"/>
      <c r="J475" s="13" t="n"/>
      <c r="K475" s="12" t="n"/>
      <c r="L475" s="13" t="n"/>
      <c r="M475" s="15">
        <f>IF($A475="","",IF($D475="",1,$D475)*$E475+$F475-$H475)</f>
        <v/>
      </c>
      <c r="N475" s="15">
        <f>IF($A475="","",IF($B475="Etsy",IF($D475="",1,$D475)*Settings!$C$19,0))</f>
        <v/>
      </c>
      <c r="O475" s="15">
        <f>IF($A475="","",IF($B475="Etsy",Settings!$C$20*($M475+IF(Settings!$C$54="Y",0,$H475)),0))</f>
        <v/>
      </c>
      <c r="P475" s="15">
        <f>IF($A475="","",IF($B475="Etsy",Settings!$C$21*$M475*(1+Settings!$C$55)+Settings!$C$22,IF($B475="Shopify",Settings!$C$14*$M475+Settings!$C$15,0)))</f>
        <v/>
      </c>
      <c r="Q475" s="15">
        <f>IF($A475="","",IF(AND($B475="Etsy",$I475="Y"),MIN(Settings!$C$12*($M475+IF(Settings!$C$54="Y",0,$H475)),Settings!$C$25),0))</f>
        <v/>
      </c>
      <c r="R475" s="15">
        <f>IF($A475="","",IF(AND($B475="Etsy",$J475="Y",$L475="Y",$M475&gt;0),($O475+Settings!$C$21*$M475*(1+Settings!$C$55)+IF(Settings!$C$59="Y",$Q475,0))*$T475/$M475+IF(AND(Settings!$C$58="Y",$T475&gt;=$M475),Settings!$C$22,0),0))</f>
        <v/>
      </c>
      <c r="S475" s="15">
        <f>IF($A475="","",$N475+$O475+$P475+$Q475-$R475)</f>
        <v/>
      </c>
      <c r="T475" s="15">
        <f>IF($A475="","",IF($J475="Y",IF($K475="",$M475,MIN($K475,$M475)),0))</f>
        <v/>
      </c>
      <c r="U475" s="15">
        <f>IF($A475="","",IF($D475="",1,$D475)*IFERROR(INDEX(Products!$F$5:$F$54,MATCH($C475,Products!$A$5:$A$54,0)),0))</f>
        <v/>
      </c>
      <c r="V475" s="27">
        <f>IF($A475="","",$M475-$T475-$S475-$U475-$G475)</f>
        <v/>
      </c>
      <c r="W475" s="31">
        <f>IF($A475="","",IF($M475-$T475&gt;0,$V475/($M475-$T475),""))</f>
        <v/>
      </c>
      <c r="X475" s="35">
        <f>IF($A475="","",DATE(YEAR($A475),MONTH($A475),1))</f>
        <v/>
      </c>
    </row>
    <row r="476">
      <c r="A476" s="18" t="n"/>
      <c r="B476" s="13" t="n"/>
      <c r="C476" s="13" t="n"/>
      <c r="D476" s="26" t="n"/>
      <c r="E476" s="12" t="n"/>
      <c r="F476" s="12" t="n"/>
      <c r="G476" s="12" t="n"/>
      <c r="H476" s="12" t="n"/>
      <c r="I476" s="13" t="n"/>
      <c r="J476" s="13" t="n"/>
      <c r="K476" s="12" t="n"/>
      <c r="L476" s="13" t="n"/>
      <c r="M476" s="15">
        <f>IF($A476="","",IF($D476="",1,$D476)*$E476+$F476-$H476)</f>
        <v/>
      </c>
      <c r="N476" s="15">
        <f>IF($A476="","",IF($B476="Etsy",IF($D476="",1,$D476)*Settings!$C$19,0))</f>
        <v/>
      </c>
      <c r="O476" s="15">
        <f>IF($A476="","",IF($B476="Etsy",Settings!$C$20*($M476+IF(Settings!$C$54="Y",0,$H476)),0))</f>
        <v/>
      </c>
      <c r="P476" s="15">
        <f>IF($A476="","",IF($B476="Etsy",Settings!$C$21*$M476*(1+Settings!$C$55)+Settings!$C$22,IF($B476="Shopify",Settings!$C$14*$M476+Settings!$C$15,0)))</f>
        <v/>
      </c>
      <c r="Q476" s="15">
        <f>IF($A476="","",IF(AND($B476="Etsy",$I476="Y"),MIN(Settings!$C$12*($M476+IF(Settings!$C$54="Y",0,$H476)),Settings!$C$25),0))</f>
        <v/>
      </c>
      <c r="R476" s="15">
        <f>IF($A476="","",IF(AND($B476="Etsy",$J476="Y",$L476="Y",$M476&gt;0),($O476+Settings!$C$21*$M476*(1+Settings!$C$55)+IF(Settings!$C$59="Y",$Q476,0))*$T476/$M476+IF(AND(Settings!$C$58="Y",$T476&gt;=$M476),Settings!$C$22,0),0))</f>
        <v/>
      </c>
      <c r="S476" s="15">
        <f>IF($A476="","",$N476+$O476+$P476+$Q476-$R476)</f>
        <v/>
      </c>
      <c r="T476" s="15">
        <f>IF($A476="","",IF($J476="Y",IF($K476="",$M476,MIN($K476,$M476)),0))</f>
        <v/>
      </c>
      <c r="U476" s="15">
        <f>IF($A476="","",IF($D476="",1,$D476)*IFERROR(INDEX(Products!$F$5:$F$54,MATCH($C476,Products!$A$5:$A$54,0)),0))</f>
        <v/>
      </c>
      <c r="V476" s="27">
        <f>IF($A476="","",$M476-$T476-$S476-$U476-$G476)</f>
        <v/>
      </c>
      <c r="W476" s="31">
        <f>IF($A476="","",IF($M476-$T476&gt;0,$V476/($M476-$T476),""))</f>
        <v/>
      </c>
      <c r="X476" s="35">
        <f>IF($A476="","",DATE(YEAR($A476),MONTH($A476),1))</f>
        <v/>
      </c>
    </row>
    <row r="477">
      <c r="A477" s="18" t="n"/>
      <c r="B477" s="13" t="n"/>
      <c r="C477" s="13" t="n"/>
      <c r="D477" s="26" t="n"/>
      <c r="E477" s="12" t="n"/>
      <c r="F477" s="12" t="n"/>
      <c r="G477" s="12" t="n"/>
      <c r="H477" s="12" t="n"/>
      <c r="I477" s="13" t="n"/>
      <c r="J477" s="13" t="n"/>
      <c r="K477" s="12" t="n"/>
      <c r="L477" s="13" t="n"/>
      <c r="M477" s="15">
        <f>IF($A477="","",IF($D477="",1,$D477)*$E477+$F477-$H477)</f>
        <v/>
      </c>
      <c r="N477" s="15">
        <f>IF($A477="","",IF($B477="Etsy",IF($D477="",1,$D477)*Settings!$C$19,0))</f>
        <v/>
      </c>
      <c r="O477" s="15">
        <f>IF($A477="","",IF($B477="Etsy",Settings!$C$20*($M477+IF(Settings!$C$54="Y",0,$H477)),0))</f>
        <v/>
      </c>
      <c r="P477" s="15">
        <f>IF($A477="","",IF($B477="Etsy",Settings!$C$21*$M477*(1+Settings!$C$55)+Settings!$C$22,IF($B477="Shopify",Settings!$C$14*$M477+Settings!$C$15,0)))</f>
        <v/>
      </c>
      <c r="Q477" s="15">
        <f>IF($A477="","",IF(AND($B477="Etsy",$I477="Y"),MIN(Settings!$C$12*($M477+IF(Settings!$C$54="Y",0,$H477)),Settings!$C$25),0))</f>
        <v/>
      </c>
      <c r="R477" s="15">
        <f>IF($A477="","",IF(AND($B477="Etsy",$J477="Y",$L477="Y",$M477&gt;0),($O477+Settings!$C$21*$M477*(1+Settings!$C$55)+IF(Settings!$C$59="Y",$Q477,0))*$T477/$M477+IF(AND(Settings!$C$58="Y",$T477&gt;=$M477),Settings!$C$22,0),0))</f>
        <v/>
      </c>
      <c r="S477" s="15">
        <f>IF($A477="","",$N477+$O477+$P477+$Q477-$R477)</f>
        <v/>
      </c>
      <c r="T477" s="15">
        <f>IF($A477="","",IF($J477="Y",IF($K477="",$M477,MIN($K477,$M477)),0))</f>
        <v/>
      </c>
      <c r="U477" s="15">
        <f>IF($A477="","",IF($D477="",1,$D477)*IFERROR(INDEX(Products!$F$5:$F$54,MATCH($C477,Products!$A$5:$A$54,0)),0))</f>
        <v/>
      </c>
      <c r="V477" s="27">
        <f>IF($A477="","",$M477-$T477-$S477-$U477-$G477)</f>
        <v/>
      </c>
      <c r="W477" s="31">
        <f>IF($A477="","",IF($M477-$T477&gt;0,$V477/($M477-$T477),""))</f>
        <v/>
      </c>
      <c r="X477" s="35">
        <f>IF($A477="","",DATE(YEAR($A477),MONTH($A477),1))</f>
        <v/>
      </c>
    </row>
    <row r="478">
      <c r="A478" s="18" t="n"/>
      <c r="B478" s="13" t="n"/>
      <c r="C478" s="13" t="n"/>
      <c r="D478" s="26" t="n"/>
      <c r="E478" s="12" t="n"/>
      <c r="F478" s="12" t="n"/>
      <c r="G478" s="12" t="n"/>
      <c r="H478" s="12" t="n"/>
      <c r="I478" s="13" t="n"/>
      <c r="J478" s="13" t="n"/>
      <c r="K478" s="12" t="n"/>
      <c r="L478" s="13" t="n"/>
      <c r="M478" s="15">
        <f>IF($A478="","",IF($D478="",1,$D478)*$E478+$F478-$H478)</f>
        <v/>
      </c>
      <c r="N478" s="15">
        <f>IF($A478="","",IF($B478="Etsy",IF($D478="",1,$D478)*Settings!$C$19,0))</f>
        <v/>
      </c>
      <c r="O478" s="15">
        <f>IF($A478="","",IF($B478="Etsy",Settings!$C$20*($M478+IF(Settings!$C$54="Y",0,$H478)),0))</f>
        <v/>
      </c>
      <c r="P478" s="15">
        <f>IF($A478="","",IF($B478="Etsy",Settings!$C$21*$M478*(1+Settings!$C$55)+Settings!$C$22,IF($B478="Shopify",Settings!$C$14*$M478+Settings!$C$15,0)))</f>
        <v/>
      </c>
      <c r="Q478" s="15">
        <f>IF($A478="","",IF(AND($B478="Etsy",$I478="Y"),MIN(Settings!$C$12*($M478+IF(Settings!$C$54="Y",0,$H478)),Settings!$C$25),0))</f>
        <v/>
      </c>
      <c r="R478" s="15">
        <f>IF($A478="","",IF(AND($B478="Etsy",$J478="Y",$L478="Y",$M478&gt;0),($O478+Settings!$C$21*$M478*(1+Settings!$C$55)+IF(Settings!$C$59="Y",$Q478,0))*$T478/$M478+IF(AND(Settings!$C$58="Y",$T478&gt;=$M478),Settings!$C$22,0),0))</f>
        <v/>
      </c>
      <c r="S478" s="15">
        <f>IF($A478="","",$N478+$O478+$P478+$Q478-$R478)</f>
        <v/>
      </c>
      <c r="T478" s="15">
        <f>IF($A478="","",IF($J478="Y",IF($K478="",$M478,MIN($K478,$M478)),0))</f>
        <v/>
      </c>
      <c r="U478" s="15">
        <f>IF($A478="","",IF($D478="",1,$D478)*IFERROR(INDEX(Products!$F$5:$F$54,MATCH($C478,Products!$A$5:$A$54,0)),0))</f>
        <v/>
      </c>
      <c r="V478" s="27">
        <f>IF($A478="","",$M478-$T478-$S478-$U478-$G478)</f>
        <v/>
      </c>
      <c r="W478" s="31">
        <f>IF($A478="","",IF($M478-$T478&gt;0,$V478/($M478-$T478),""))</f>
        <v/>
      </c>
      <c r="X478" s="35">
        <f>IF($A478="","",DATE(YEAR($A478),MONTH($A478),1))</f>
        <v/>
      </c>
    </row>
    <row r="479">
      <c r="A479" s="18" t="n"/>
      <c r="B479" s="13" t="n"/>
      <c r="C479" s="13" t="n"/>
      <c r="D479" s="26" t="n"/>
      <c r="E479" s="12" t="n"/>
      <c r="F479" s="12" t="n"/>
      <c r="G479" s="12" t="n"/>
      <c r="H479" s="12" t="n"/>
      <c r="I479" s="13" t="n"/>
      <c r="J479" s="13" t="n"/>
      <c r="K479" s="12" t="n"/>
      <c r="L479" s="13" t="n"/>
      <c r="M479" s="15">
        <f>IF($A479="","",IF($D479="",1,$D479)*$E479+$F479-$H479)</f>
        <v/>
      </c>
      <c r="N479" s="15">
        <f>IF($A479="","",IF($B479="Etsy",IF($D479="",1,$D479)*Settings!$C$19,0))</f>
        <v/>
      </c>
      <c r="O479" s="15">
        <f>IF($A479="","",IF($B479="Etsy",Settings!$C$20*($M479+IF(Settings!$C$54="Y",0,$H479)),0))</f>
        <v/>
      </c>
      <c r="P479" s="15">
        <f>IF($A479="","",IF($B479="Etsy",Settings!$C$21*$M479*(1+Settings!$C$55)+Settings!$C$22,IF($B479="Shopify",Settings!$C$14*$M479+Settings!$C$15,0)))</f>
        <v/>
      </c>
      <c r="Q479" s="15">
        <f>IF($A479="","",IF(AND($B479="Etsy",$I479="Y"),MIN(Settings!$C$12*($M479+IF(Settings!$C$54="Y",0,$H479)),Settings!$C$25),0))</f>
        <v/>
      </c>
      <c r="R479" s="15">
        <f>IF($A479="","",IF(AND($B479="Etsy",$J479="Y",$L479="Y",$M479&gt;0),($O479+Settings!$C$21*$M479*(1+Settings!$C$55)+IF(Settings!$C$59="Y",$Q479,0))*$T479/$M479+IF(AND(Settings!$C$58="Y",$T479&gt;=$M479),Settings!$C$22,0),0))</f>
        <v/>
      </c>
      <c r="S479" s="15">
        <f>IF($A479="","",$N479+$O479+$P479+$Q479-$R479)</f>
        <v/>
      </c>
      <c r="T479" s="15">
        <f>IF($A479="","",IF($J479="Y",IF($K479="",$M479,MIN($K479,$M479)),0))</f>
        <v/>
      </c>
      <c r="U479" s="15">
        <f>IF($A479="","",IF($D479="",1,$D479)*IFERROR(INDEX(Products!$F$5:$F$54,MATCH($C479,Products!$A$5:$A$54,0)),0))</f>
        <v/>
      </c>
      <c r="V479" s="27">
        <f>IF($A479="","",$M479-$T479-$S479-$U479-$G479)</f>
        <v/>
      </c>
      <c r="W479" s="31">
        <f>IF($A479="","",IF($M479-$T479&gt;0,$V479/($M479-$T479),""))</f>
        <v/>
      </c>
      <c r="X479" s="35">
        <f>IF($A479="","",DATE(YEAR($A479),MONTH($A479),1))</f>
        <v/>
      </c>
    </row>
    <row r="480">
      <c r="A480" s="18" t="n"/>
      <c r="B480" s="13" t="n"/>
      <c r="C480" s="13" t="n"/>
      <c r="D480" s="26" t="n"/>
      <c r="E480" s="12" t="n"/>
      <c r="F480" s="12" t="n"/>
      <c r="G480" s="12" t="n"/>
      <c r="H480" s="12" t="n"/>
      <c r="I480" s="13" t="n"/>
      <c r="J480" s="13" t="n"/>
      <c r="K480" s="12" t="n"/>
      <c r="L480" s="13" t="n"/>
      <c r="M480" s="15">
        <f>IF($A480="","",IF($D480="",1,$D480)*$E480+$F480-$H480)</f>
        <v/>
      </c>
      <c r="N480" s="15">
        <f>IF($A480="","",IF($B480="Etsy",IF($D480="",1,$D480)*Settings!$C$19,0))</f>
        <v/>
      </c>
      <c r="O480" s="15">
        <f>IF($A480="","",IF($B480="Etsy",Settings!$C$20*($M480+IF(Settings!$C$54="Y",0,$H480)),0))</f>
        <v/>
      </c>
      <c r="P480" s="15">
        <f>IF($A480="","",IF($B480="Etsy",Settings!$C$21*$M480*(1+Settings!$C$55)+Settings!$C$22,IF($B480="Shopify",Settings!$C$14*$M480+Settings!$C$15,0)))</f>
        <v/>
      </c>
      <c r="Q480" s="15">
        <f>IF($A480="","",IF(AND($B480="Etsy",$I480="Y"),MIN(Settings!$C$12*($M480+IF(Settings!$C$54="Y",0,$H480)),Settings!$C$25),0))</f>
        <v/>
      </c>
      <c r="R480" s="15">
        <f>IF($A480="","",IF(AND($B480="Etsy",$J480="Y",$L480="Y",$M480&gt;0),($O480+Settings!$C$21*$M480*(1+Settings!$C$55)+IF(Settings!$C$59="Y",$Q480,0))*$T480/$M480+IF(AND(Settings!$C$58="Y",$T480&gt;=$M480),Settings!$C$22,0),0))</f>
        <v/>
      </c>
      <c r="S480" s="15">
        <f>IF($A480="","",$N480+$O480+$P480+$Q480-$R480)</f>
        <v/>
      </c>
      <c r="T480" s="15">
        <f>IF($A480="","",IF($J480="Y",IF($K480="",$M480,MIN($K480,$M480)),0))</f>
        <v/>
      </c>
      <c r="U480" s="15">
        <f>IF($A480="","",IF($D480="",1,$D480)*IFERROR(INDEX(Products!$F$5:$F$54,MATCH($C480,Products!$A$5:$A$54,0)),0))</f>
        <v/>
      </c>
      <c r="V480" s="27">
        <f>IF($A480="","",$M480-$T480-$S480-$U480-$G480)</f>
        <v/>
      </c>
      <c r="W480" s="31">
        <f>IF($A480="","",IF($M480-$T480&gt;0,$V480/($M480-$T480),""))</f>
        <v/>
      </c>
      <c r="X480" s="35">
        <f>IF($A480="","",DATE(YEAR($A480),MONTH($A480),1))</f>
        <v/>
      </c>
    </row>
    <row r="481">
      <c r="A481" s="18" t="n"/>
      <c r="B481" s="13" t="n"/>
      <c r="C481" s="13" t="n"/>
      <c r="D481" s="26" t="n"/>
      <c r="E481" s="12" t="n"/>
      <c r="F481" s="12" t="n"/>
      <c r="G481" s="12" t="n"/>
      <c r="H481" s="12" t="n"/>
      <c r="I481" s="13" t="n"/>
      <c r="J481" s="13" t="n"/>
      <c r="K481" s="12" t="n"/>
      <c r="L481" s="13" t="n"/>
      <c r="M481" s="15">
        <f>IF($A481="","",IF($D481="",1,$D481)*$E481+$F481-$H481)</f>
        <v/>
      </c>
      <c r="N481" s="15">
        <f>IF($A481="","",IF($B481="Etsy",IF($D481="",1,$D481)*Settings!$C$19,0))</f>
        <v/>
      </c>
      <c r="O481" s="15">
        <f>IF($A481="","",IF($B481="Etsy",Settings!$C$20*($M481+IF(Settings!$C$54="Y",0,$H481)),0))</f>
        <v/>
      </c>
      <c r="P481" s="15">
        <f>IF($A481="","",IF($B481="Etsy",Settings!$C$21*$M481*(1+Settings!$C$55)+Settings!$C$22,IF($B481="Shopify",Settings!$C$14*$M481+Settings!$C$15,0)))</f>
        <v/>
      </c>
      <c r="Q481" s="15">
        <f>IF($A481="","",IF(AND($B481="Etsy",$I481="Y"),MIN(Settings!$C$12*($M481+IF(Settings!$C$54="Y",0,$H481)),Settings!$C$25),0))</f>
        <v/>
      </c>
      <c r="R481" s="15">
        <f>IF($A481="","",IF(AND($B481="Etsy",$J481="Y",$L481="Y",$M481&gt;0),($O481+Settings!$C$21*$M481*(1+Settings!$C$55)+IF(Settings!$C$59="Y",$Q481,0))*$T481/$M481+IF(AND(Settings!$C$58="Y",$T481&gt;=$M481),Settings!$C$22,0),0))</f>
        <v/>
      </c>
      <c r="S481" s="15">
        <f>IF($A481="","",$N481+$O481+$P481+$Q481-$R481)</f>
        <v/>
      </c>
      <c r="T481" s="15">
        <f>IF($A481="","",IF($J481="Y",IF($K481="",$M481,MIN($K481,$M481)),0))</f>
        <v/>
      </c>
      <c r="U481" s="15">
        <f>IF($A481="","",IF($D481="",1,$D481)*IFERROR(INDEX(Products!$F$5:$F$54,MATCH($C481,Products!$A$5:$A$54,0)),0))</f>
        <v/>
      </c>
      <c r="V481" s="27">
        <f>IF($A481="","",$M481-$T481-$S481-$U481-$G481)</f>
        <v/>
      </c>
      <c r="W481" s="31">
        <f>IF($A481="","",IF($M481-$T481&gt;0,$V481/($M481-$T481),""))</f>
        <v/>
      </c>
      <c r="X481" s="35">
        <f>IF($A481="","",DATE(YEAR($A481),MONTH($A481),1))</f>
        <v/>
      </c>
    </row>
    <row r="482">
      <c r="A482" s="18" t="n"/>
      <c r="B482" s="13" t="n"/>
      <c r="C482" s="13" t="n"/>
      <c r="D482" s="26" t="n"/>
      <c r="E482" s="12" t="n"/>
      <c r="F482" s="12" t="n"/>
      <c r="G482" s="12" t="n"/>
      <c r="H482" s="12" t="n"/>
      <c r="I482" s="13" t="n"/>
      <c r="J482" s="13" t="n"/>
      <c r="K482" s="12" t="n"/>
      <c r="L482" s="13" t="n"/>
      <c r="M482" s="15">
        <f>IF($A482="","",IF($D482="",1,$D482)*$E482+$F482-$H482)</f>
        <v/>
      </c>
      <c r="N482" s="15">
        <f>IF($A482="","",IF($B482="Etsy",IF($D482="",1,$D482)*Settings!$C$19,0))</f>
        <v/>
      </c>
      <c r="O482" s="15">
        <f>IF($A482="","",IF($B482="Etsy",Settings!$C$20*($M482+IF(Settings!$C$54="Y",0,$H482)),0))</f>
        <v/>
      </c>
      <c r="P482" s="15">
        <f>IF($A482="","",IF($B482="Etsy",Settings!$C$21*$M482*(1+Settings!$C$55)+Settings!$C$22,IF($B482="Shopify",Settings!$C$14*$M482+Settings!$C$15,0)))</f>
        <v/>
      </c>
      <c r="Q482" s="15">
        <f>IF($A482="","",IF(AND($B482="Etsy",$I482="Y"),MIN(Settings!$C$12*($M482+IF(Settings!$C$54="Y",0,$H482)),Settings!$C$25),0))</f>
        <v/>
      </c>
      <c r="R482" s="15">
        <f>IF($A482="","",IF(AND($B482="Etsy",$J482="Y",$L482="Y",$M482&gt;0),($O482+Settings!$C$21*$M482*(1+Settings!$C$55)+IF(Settings!$C$59="Y",$Q482,0))*$T482/$M482+IF(AND(Settings!$C$58="Y",$T482&gt;=$M482),Settings!$C$22,0),0))</f>
        <v/>
      </c>
      <c r="S482" s="15">
        <f>IF($A482="","",$N482+$O482+$P482+$Q482-$R482)</f>
        <v/>
      </c>
      <c r="T482" s="15">
        <f>IF($A482="","",IF($J482="Y",IF($K482="",$M482,MIN($K482,$M482)),0))</f>
        <v/>
      </c>
      <c r="U482" s="15">
        <f>IF($A482="","",IF($D482="",1,$D482)*IFERROR(INDEX(Products!$F$5:$F$54,MATCH($C482,Products!$A$5:$A$54,0)),0))</f>
        <v/>
      </c>
      <c r="V482" s="27">
        <f>IF($A482="","",$M482-$T482-$S482-$U482-$G482)</f>
        <v/>
      </c>
      <c r="W482" s="31">
        <f>IF($A482="","",IF($M482-$T482&gt;0,$V482/($M482-$T482),""))</f>
        <v/>
      </c>
      <c r="X482" s="35">
        <f>IF($A482="","",DATE(YEAR($A482),MONTH($A482),1))</f>
        <v/>
      </c>
    </row>
    <row r="483">
      <c r="A483" s="18" t="n"/>
      <c r="B483" s="13" t="n"/>
      <c r="C483" s="13" t="n"/>
      <c r="D483" s="26" t="n"/>
      <c r="E483" s="12" t="n"/>
      <c r="F483" s="12" t="n"/>
      <c r="G483" s="12" t="n"/>
      <c r="H483" s="12" t="n"/>
      <c r="I483" s="13" t="n"/>
      <c r="J483" s="13" t="n"/>
      <c r="K483" s="12" t="n"/>
      <c r="L483" s="13" t="n"/>
      <c r="M483" s="15">
        <f>IF($A483="","",IF($D483="",1,$D483)*$E483+$F483-$H483)</f>
        <v/>
      </c>
      <c r="N483" s="15">
        <f>IF($A483="","",IF($B483="Etsy",IF($D483="",1,$D483)*Settings!$C$19,0))</f>
        <v/>
      </c>
      <c r="O483" s="15">
        <f>IF($A483="","",IF($B483="Etsy",Settings!$C$20*($M483+IF(Settings!$C$54="Y",0,$H483)),0))</f>
        <v/>
      </c>
      <c r="P483" s="15">
        <f>IF($A483="","",IF($B483="Etsy",Settings!$C$21*$M483*(1+Settings!$C$55)+Settings!$C$22,IF($B483="Shopify",Settings!$C$14*$M483+Settings!$C$15,0)))</f>
        <v/>
      </c>
      <c r="Q483" s="15">
        <f>IF($A483="","",IF(AND($B483="Etsy",$I483="Y"),MIN(Settings!$C$12*($M483+IF(Settings!$C$54="Y",0,$H483)),Settings!$C$25),0))</f>
        <v/>
      </c>
      <c r="R483" s="15">
        <f>IF($A483="","",IF(AND($B483="Etsy",$J483="Y",$L483="Y",$M483&gt;0),($O483+Settings!$C$21*$M483*(1+Settings!$C$55)+IF(Settings!$C$59="Y",$Q483,0))*$T483/$M483+IF(AND(Settings!$C$58="Y",$T483&gt;=$M483),Settings!$C$22,0),0))</f>
        <v/>
      </c>
      <c r="S483" s="15">
        <f>IF($A483="","",$N483+$O483+$P483+$Q483-$R483)</f>
        <v/>
      </c>
      <c r="T483" s="15">
        <f>IF($A483="","",IF($J483="Y",IF($K483="",$M483,MIN($K483,$M483)),0))</f>
        <v/>
      </c>
      <c r="U483" s="15">
        <f>IF($A483="","",IF($D483="",1,$D483)*IFERROR(INDEX(Products!$F$5:$F$54,MATCH($C483,Products!$A$5:$A$54,0)),0))</f>
        <v/>
      </c>
      <c r="V483" s="27">
        <f>IF($A483="","",$M483-$T483-$S483-$U483-$G483)</f>
        <v/>
      </c>
      <c r="W483" s="31">
        <f>IF($A483="","",IF($M483-$T483&gt;0,$V483/($M483-$T483),""))</f>
        <v/>
      </c>
      <c r="X483" s="35">
        <f>IF($A483="","",DATE(YEAR($A483),MONTH($A483),1))</f>
        <v/>
      </c>
    </row>
    <row r="484">
      <c r="A484" s="18" t="n"/>
      <c r="B484" s="13" t="n"/>
      <c r="C484" s="13" t="n"/>
      <c r="D484" s="26" t="n"/>
      <c r="E484" s="12" t="n"/>
      <c r="F484" s="12" t="n"/>
      <c r="G484" s="12" t="n"/>
      <c r="H484" s="12" t="n"/>
      <c r="I484" s="13" t="n"/>
      <c r="J484" s="13" t="n"/>
      <c r="K484" s="12" t="n"/>
      <c r="L484" s="13" t="n"/>
      <c r="M484" s="15">
        <f>IF($A484="","",IF($D484="",1,$D484)*$E484+$F484-$H484)</f>
        <v/>
      </c>
      <c r="N484" s="15">
        <f>IF($A484="","",IF($B484="Etsy",IF($D484="",1,$D484)*Settings!$C$19,0))</f>
        <v/>
      </c>
      <c r="O484" s="15">
        <f>IF($A484="","",IF($B484="Etsy",Settings!$C$20*($M484+IF(Settings!$C$54="Y",0,$H484)),0))</f>
        <v/>
      </c>
      <c r="P484" s="15">
        <f>IF($A484="","",IF($B484="Etsy",Settings!$C$21*$M484*(1+Settings!$C$55)+Settings!$C$22,IF($B484="Shopify",Settings!$C$14*$M484+Settings!$C$15,0)))</f>
        <v/>
      </c>
      <c r="Q484" s="15">
        <f>IF($A484="","",IF(AND($B484="Etsy",$I484="Y"),MIN(Settings!$C$12*($M484+IF(Settings!$C$54="Y",0,$H484)),Settings!$C$25),0))</f>
        <v/>
      </c>
      <c r="R484" s="15">
        <f>IF($A484="","",IF(AND($B484="Etsy",$J484="Y",$L484="Y",$M484&gt;0),($O484+Settings!$C$21*$M484*(1+Settings!$C$55)+IF(Settings!$C$59="Y",$Q484,0))*$T484/$M484+IF(AND(Settings!$C$58="Y",$T484&gt;=$M484),Settings!$C$22,0),0))</f>
        <v/>
      </c>
      <c r="S484" s="15">
        <f>IF($A484="","",$N484+$O484+$P484+$Q484-$R484)</f>
        <v/>
      </c>
      <c r="T484" s="15">
        <f>IF($A484="","",IF($J484="Y",IF($K484="",$M484,MIN($K484,$M484)),0))</f>
        <v/>
      </c>
      <c r="U484" s="15">
        <f>IF($A484="","",IF($D484="",1,$D484)*IFERROR(INDEX(Products!$F$5:$F$54,MATCH($C484,Products!$A$5:$A$54,0)),0))</f>
        <v/>
      </c>
      <c r="V484" s="27">
        <f>IF($A484="","",$M484-$T484-$S484-$U484-$G484)</f>
        <v/>
      </c>
      <c r="W484" s="31">
        <f>IF($A484="","",IF($M484-$T484&gt;0,$V484/($M484-$T484),""))</f>
        <v/>
      </c>
      <c r="X484" s="35">
        <f>IF($A484="","",DATE(YEAR($A484),MONTH($A484),1))</f>
        <v/>
      </c>
    </row>
    <row r="485">
      <c r="A485" s="18" t="n"/>
      <c r="B485" s="13" t="n"/>
      <c r="C485" s="13" t="n"/>
      <c r="D485" s="26" t="n"/>
      <c r="E485" s="12" t="n"/>
      <c r="F485" s="12" t="n"/>
      <c r="G485" s="12" t="n"/>
      <c r="H485" s="12" t="n"/>
      <c r="I485" s="13" t="n"/>
      <c r="J485" s="13" t="n"/>
      <c r="K485" s="12" t="n"/>
      <c r="L485" s="13" t="n"/>
      <c r="M485" s="15">
        <f>IF($A485="","",IF($D485="",1,$D485)*$E485+$F485-$H485)</f>
        <v/>
      </c>
      <c r="N485" s="15">
        <f>IF($A485="","",IF($B485="Etsy",IF($D485="",1,$D485)*Settings!$C$19,0))</f>
        <v/>
      </c>
      <c r="O485" s="15">
        <f>IF($A485="","",IF($B485="Etsy",Settings!$C$20*($M485+IF(Settings!$C$54="Y",0,$H485)),0))</f>
        <v/>
      </c>
      <c r="P485" s="15">
        <f>IF($A485="","",IF($B485="Etsy",Settings!$C$21*$M485*(1+Settings!$C$55)+Settings!$C$22,IF($B485="Shopify",Settings!$C$14*$M485+Settings!$C$15,0)))</f>
        <v/>
      </c>
      <c r="Q485" s="15">
        <f>IF($A485="","",IF(AND($B485="Etsy",$I485="Y"),MIN(Settings!$C$12*($M485+IF(Settings!$C$54="Y",0,$H485)),Settings!$C$25),0))</f>
        <v/>
      </c>
      <c r="R485" s="15">
        <f>IF($A485="","",IF(AND($B485="Etsy",$J485="Y",$L485="Y",$M485&gt;0),($O485+Settings!$C$21*$M485*(1+Settings!$C$55)+IF(Settings!$C$59="Y",$Q485,0))*$T485/$M485+IF(AND(Settings!$C$58="Y",$T485&gt;=$M485),Settings!$C$22,0),0))</f>
        <v/>
      </c>
      <c r="S485" s="15">
        <f>IF($A485="","",$N485+$O485+$P485+$Q485-$R485)</f>
        <v/>
      </c>
      <c r="T485" s="15">
        <f>IF($A485="","",IF($J485="Y",IF($K485="",$M485,MIN($K485,$M485)),0))</f>
        <v/>
      </c>
      <c r="U485" s="15">
        <f>IF($A485="","",IF($D485="",1,$D485)*IFERROR(INDEX(Products!$F$5:$F$54,MATCH($C485,Products!$A$5:$A$54,0)),0))</f>
        <v/>
      </c>
      <c r="V485" s="27">
        <f>IF($A485="","",$M485-$T485-$S485-$U485-$G485)</f>
        <v/>
      </c>
      <c r="W485" s="31">
        <f>IF($A485="","",IF($M485-$T485&gt;0,$V485/($M485-$T485),""))</f>
        <v/>
      </c>
      <c r="X485" s="35">
        <f>IF($A485="","",DATE(YEAR($A485),MONTH($A485),1))</f>
        <v/>
      </c>
    </row>
    <row r="486">
      <c r="A486" s="18" t="n"/>
      <c r="B486" s="13" t="n"/>
      <c r="C486" s="13" t="n"/>
      <c r="D486" s="26" t="n"/>
      <c r="E486" s="12" t="n"/>
      <c r="F486" s="12" t="n"/>
      <c r="G486" s="12" t="n"/>
      <c r="H486" s="12" t="n"/>
      <c r="I486" s="13" t="n"/>
      <c r="J486" s="13" t="n"/>
      <c r="K486" s="12" t="n"/>
      <c r="L486" s="13" t="n"/>
      <c r="M486" s="15">
        <f>IF($A486="","",IF($D486="",1,$D486)*$E486+$F486-$H486)</f>
        <v/>
      </c>
      <c r="N486" s="15">
        <f>IF($A486="","",IF($B486="Etsy",IF($D486="",1,$D486)*Settings!$C$19,0))</f>
        <v/>
      </c>
      <c r="O486" s="15">
        <f>IF($A486="","",IF($B486="Etsy",Settings!$C$20*($M486+IF(Settings!$C$54="Y",0,$H486)),0))</f>
        <v/>
      </c>
      <c r="P486" s="15">
        <f>IF($A486="","",IF($B486="Etsy",Settings!$C$21*$M486*(1+Settings!$C$55)+Settings!$C$22,IF($B486="Shopify",Settings!$C$14*$M486+Settings!$C$15,0)))</f>
        <v/>
      </c>
      <c r="Q486" s="15">
        <f>IF($A486="","",IF(AND($B486="Etsy",$I486="Y"),MIN(Settings!$C$12*($M486+IF(Settings!$C$54="Y",0,$H486)),Settings!$C$25),0))</f>
        <v/>
      </c>
      <c r="R486" s="15">
        <f>IF($A486="","",IF(AND($B486="Etsy",$J486="Y",$L486="Y",$M486&gt;0),($O486+Settings!$C$21*$M486*(1+Settings!$C$55)+IF(Settings!$C$59="Y",$Q486,0))*$T486/$M486+IF(AND(Settings!$C$58="Y",$T486&gt;=$M486),Settings!$C$22,0),0))</f>
        <v/>
      </c>
      <c r="S486" s="15">
        <f>IF($A486="","",$N486+$O486+$P486+$Q486-$R486)</f>
        <v/>
      </c>
      <c r="T486" s="15">
        <f>IF($A486="","",IF($J486="Y",IF($K486="",$M486,MIN($K486,$M486)),0))</f>
        <v/>
      </c>
      <c r="U486" s="15">
        <f>IF($A486="","",IF($D486="",1,$D486)*IFERROR(INDEX(Products!$F$5:$F$54,MATCH($C486,Products!$A$5:$A$54,0)),0))</f>
        <v/>
      </c>
      <c r="V486" s="27">
        <f>IF($A486="","",$M486-$T486-$S486-$U486-$G486)</f>
        <v/>
      </c>
      <c r="W486" s="31">
        <f>IF($A486="","",IF($M486-$T486&gt;0,$V486/($M486-$T486),""))</f>
        <v/>
      </c>
      <c r="X486" s="35">
        <f>IF($A486="","",DATE(YEAR($A486),MONTH($A486),1))</f>
        <v/>
      </c>
    </row>
    <row r="487">
      <c r="A487" s="18" t="n"/>
      <c r="B487" s="13" t="n"/>
      <c r="C487" s="13" t="n"/>
      <c r="D487" s="26" t="n"/>
      <c r="E487" s="12" t="n"/>
      <c r="F487" s="12" t="n"/>
      <c r="G487" s="12" t="n"/>
      <c r="H487" s="12" t="n"/>
      <c r="I487" s="13" t="n"/>
      <c r="J487" s="13" t="n"/>
      <c r="K487" s="12" t="n"/>
      <c r="L487" s="13" t="n"/>
      <c r="M487" s="15">
        <f>IF($A487="","",IF($D487="",1,$D487)*$E487+$F487-$H487)</f>
        <v/>
      </c>
      <c r="N487" s="15">
        <f>IF($A487="","",IF($B487="Etsy",IF($D487="",1,$D487)*Settings!$C$19,0))</f>
        <v/>
      </c>
      <c r="O487" s="15">
        <f>IF($A487="","",IF($B487="Etsy",Settings!$C$20*($M487+IF(Settings!$C$54="Y",0,$H487)),0))</f>
        <v/>
      </c>
      <c r="P487" s="15">
        <f>IF($A487="","",IF($B487="Etsy",Settings!$C$21*$M487*(1+Settings!$C$55)+Settings!$C$22,IF($B487="Shopify",Settings!$C$14*$M487+Settings!$C$15,0)))</f>
        <v/>
      </c>
      <c r="Q487" s="15">
        <f>IF($A487="","",IF(AND($B487="Etsy",$I487="Y"),MIN(Settings!$C$12*($M487+IF(Settings!$C$54="Y",0,$H487)),Settings!$C$25),0))</f>
        <v/>
      </c>
      <c r="R487" s="15">
        <f>IF($A487="","",IF(AND($B487="Etsy",$J487="Y",$L487="Y",$M487&gt;0),($O487+Settings!$C$21*$M487*(1+Settings!$C$55)+IF(Settings!$C$59="Y",$Q487,0))*$T487/$M487+IF(AND(Settings!$C$58="Y",$T487&gt;=$M487),Settings!$C$22,0),0))</f>
        <v/>
      </c>
      <c r="S487" s="15">
        <f>IF($A487="","",$N487+$O487+$P487+$Q487-$R487)</f>
        <v/>
      </c>
      <c r="T487" s="15">
        <f>IF($A487="","",IF($J487="Y",IF($K487="",$M487,MIN($K487,$M487)),0))</f>
        <v/>
      </c>
      <c r="U487" s="15">
        <f>IF($A487="","",IF($D487="",1,$D487)*IFERROR(INDEX(Products!$F$5:$F$54,MATCH($C487,Products!$A$5:$A$54,0)),0))</f>
        <v/>
      </c>
      <c r="V487" s="27">
        <f>IF($A487="","",$M487-$T487-$S487-$U487-$G487)</f>
        <v/>
      </c>
      <c r="W487" s="31">
        <f>IF($A487="","",IF($M487-$T487&gt;0,$V487/($M487-$T487),""))</f>
        <v/>
      </c>
      <c r="X487" s="35">
        <f>IF($A487="","",DATE(YEAR($A487),MONTH($A487),1))</f>
        <v/>
      </c>
    </row>
    <row r="488">
      <c r="A488" s="18" t="n"/>
      <c r="B488" s="13" t="n"/>
      <c r="C488" s="13" t="n"/>
      <c r="D488" s="26" t="n"/>
      <c r="E488" s="12" t="n"/>
      <c r="F488" s="12" t="n"/>
      <c r="G488" s="12" t="n"/>
      <c r="H488" s="12" t="n"/>
      <c r="I488" s="13" t="n"/>
      <c r="J488" s="13" t="n"/>
      <c r="K488" s="12" t="n"/>
      <c r="L488" s="13" t="n"/>
      <c r="M488" s="15">
        <f>IF($A488="","",IF($D488="",1,$D488)*$E488+$F488-$H488)</f>
        <v/>
      </c>
      <c r="N488" s="15">
        <f>IF($A488="","",IF($B488="Etsy",IF($D488="",1,$D488)*Settings!$C$19,0))</f>
        <v/>
      </c>
      <c r="O488" s="15">
        <f>IF($A488="","",IF($B488="Etsy",Settings!$C$20*($M488+IF(Settings!$C$54="Y",0,$H488)),0))</f>
        <v/>
      </c>
      <c r="P488" s="15">
        <f>IF($A488="","",IF($B488="Etsy",Settings!$C$21*$M488*(1+Settings!$C$55)+Settings!$C$22,IF($B488="Shopify",Settings!$C$14*$M488+Settings!$C$15,0)))</f>
        <v/>
      </c>
      <c r="Q488" s="15">
        <f>IF($A488="","",IF(AND($B488="Etsy",$I488="Y"),MIN(Settings!$C$12*($M488+IF(Settings!$C$54="Y",0,$H488)),Settings!$C$25),0))</f>
        <v/>
      </c>
      <c r="R488" s="15">
        <f>IF($A488="","",IF(AND($B488="Etsy",$J488="Y",$L488="Y",$M488&gt;0),($O488+Settings!$C$21*$M488*(1+Settings!$C$55)+IF(Settings!$C$59="Y",$Q488,0))*$T488/$M488+IF(AND(Settings!$C$58="Y",$T488&gt;=$M488),Settings!$C$22,0),0))</f>
        <v/>
      </c>
      <c r="S488" s="15">
        <f>IF($A488="","",$N488+$O488+$P488+$Q488-$R488)</f>
        <v/>
      </c>
      <c r="T488" s="15">
        <f>IF($A488="","",IF($J488="Y",IF($K488="",$M488,MIN($K488,$M488)),0))</f>
        <v/>
      </c>
      <c r="U488" s="15">
        <f>IF($A488="","",IF($D488="",1,$D488)*IFERROR(INDEX(Products!$F$5:$F$54,MATCH($C488,Products!$A$5:$A$54,0)),0))</f>
        <v/>
      </c>
      <c r="V488" s="27">
        <f>IF($A488="","",$M488-$T488-$S488-$U488-$G488)</f>
        <v/>
      </c>
      <c r="W488" s="31">
        <f>IF($A488="","",IF($M488-$T488&gt;0,$V488/($M488-$T488),""))</f>
        <v/>
      </c>
      <c r="X488" s="35">
        <f>IF($A488="","",DATE(YEAR($A488),MONTH($A488),1))</f>
        <v/>
      </c>
    </row>
    <row r="489">
      <c r="A489" s="18" t="n"/>
      <c r="B489" s="13" t="n"/>
      <c r="C489" s="13" t="n"/>
      <c r="D489" s="26" t="n"/>
      <c r="E489" s="12" t="n"/>
      <c r="F489" s="12" t="n"/>
      <c r="G489" s="12" t="n"/>
      <c r="H489" s="12" t="n"/>
      <c r="I489" s="13" t="n"/>
      <c r="J489" s="13" t="n"/>
      <c r="K489" s="12" t="n"/>
      <c r="L489" s="13" t="n"/>
      <c r="M489" s="15">
        <f>IF($A489="","",IF($D489="",1,$D489)*$E489+$F489-$H489)</f>
        <v/>
      </c>
      <c r="N489" s="15">
        <f>IF($A489="","",IF($B489="Etsy",IF($D489="",1,$D489)*Settings!$C$19,0))</f>
        <v/>
      </c>
      <c r="O489" s="15">
        <f>IF($A489="","",IF($B489="Etsy",Settings!$C$20*($M489+IF(Settings!$C$54="Y",0,$H489)),0))</f>
        <v/>
      </c>
      <c r="P489" s="15">
        <f>IF($A489="","",IF($B489="Etsy",Settings!$C$21*$M489*(1+Settings!$C$55)+Settings!$C$22,IF($B489="Shopify",Settings!$C$14*$M489+Settings!$C$15,0)))</f>
        <v/>
      </c>
      <c r="Q489" s="15">
        <f>IF($A489="","",IF(AND($B489="Etsy",$I489="Y"),MIN(Settings!$C$12*($M489+IF(Settings!$C$54="Y",0,$H489)),Settings!$C$25),0))</f>
        <v/>
      </c>
      <c r="R489" s="15">
        <f>IF($A489="","",IF(AND($B489="Etsy",$J489="Y",$L489="Y",$M489&gt;0),($O489+Settings!$C$21*$M489*(1+Settings!$C$55)+IF(Settings!$C$59="Y",$Q489,0))*$T489/$M489+IF(AND(Settings!$C$58="Y",$T489&gt;=$M489),Settings!$C$22,0),0))</f>
        <v/>
      </c>
      <c r="S489" s="15">
        <f>IF($A489="","",$N489+$O489+$P489+$Q489-$R489)</f>
        <v/>
      </c>
      <c r="T489" s="15">
        <f>IF($A489="","",IF($J489="Y",IF($K489="",$M489,MIN($K489,$M489)),0))</f>
        <v/>
      </c>
      <c r="U489" s="15">
        <f>IF($A489="","",IF($D489="",1,$D489)*IFERROR(INDEX(Products!$F$5:$F$54,MATCH($C489,Products!$A$5:$A$54,0)),0))</f>
        <v/>
      </c>
      <c r="V489" s="27">
        <f>IF($A489="","",$M489-$T489-$S489-$U489-$G489)</f>
        <v/>
      </c>
      <c r="W489" s="31">
        <f>IF($A489="","",IF($M489-$T489&gt;0,$V489/($M489-$T489),""))</f>
        <v/>
      </c>
      <c r="X489" s="35">
        <f>IF($A489="","",DATE(YEAR($A489),MONTH($A489),1))</f>
        <v/>
      </c>
    </row>
    <row r="490">
      <c r="A490" s="18" t="n"/>
      <c r="B490" s="13" t="n"/>
      <c r="C490" s="13" t="n"/>
      <c r="D490" s="26" t="n"/>
      <c r="E490" s="12" t="n"/>
      <c r="F490" s="12" t="n"/>
      <c r="G490" s="12" t="n"/>
      <c r="H490" s="12" t="n"/>
      <c r="I490" s="13" t="n"/>
      <c r="J490" s="13" t="n"/>
      <c r="K490" s="12" t="n"/>
      <c r="L490" s="13" t="n"/>
      <c r="M490" s="15">
        <f>IF($A490="","",IF($D490="",1,$D490)*$E490+$F490-$H490)</f>
        <v/>
      </c>
      <c r="N490" s="15">
        <f>IF($A490="","",IF($B490="Etsy",IF($D490="",1,$D490)*Settings!$C$19,0))</f>
        <v/>
      </c>
      <c r="O490" s="15">
        <f>IF($A490="","",IF($B490="Etsy",Settings!$C$20*($M490+IF(Settings!$C$54="Y",0,$H490)),0))</f>
        <v/>
      </c>
      <c r="P490" s="15">
        <f>IF($A490="","",IF($B490="Etsy",Settings!$C$21*$M490*(1+Settings!$C$55)+Settings!$C$22,IF($B490="Shopify",Settings!$C$14*$M490+Settings!$C$15,0)))</f>
        <v/>
      </c>
      <c r="Q490" s="15">
        <f>IF($A490="","",IF(AND($B490="Etsy",$I490="Y"),MIN(Settings!$C$12*($M490+IF(Settings!$C$54="Y",0,$H490)),Settings!$C$25),0))</f>
        <v/>
      </c>
      <c r="R490" s="15">
        <f>IF($A490="","",IF(AND($B490="Etsy",$J490="Y",$L490="Y",$M490&gt;0),($O490+Settings!$C$21*$M490*(1+Settings!$C$55)+IF(Settings!$C$59="Y",$Q490,0))*$T490/$M490+IF(AND(Settings!$C$58="Y",$T490&gt;=$M490),Settings!$C$22,0),0))</f>
        <v/>
      </c>
      <c r="S490" s="15">
        <f>IF($A490="","",$N490+$O490+$P490+$Q490-$R490)</f>
        <v/>
      </c>
      <c r="T490" s="15">
        <f>IF($A490="","",IF($J490="Y",IF($K490="",$M490,MIN($K490,$M490)),0))</f>
        <v/>
      </c>
      <c r="U490" s="15">
        <f>IF($A490="","",IF($D490="",1,$D490)*IFERROR(INDEX(Products!$F$5:$F$54,MATCH($C490,Products!$A$5:$A$54,0)),0))</f>
        <v/>
      </c>
      <c r="V490" s="27">
        <f>IF($A490="","",$M490-$T490-$S490-$U490-$G490)</f>
        <v/>
      </c>
      <c r="W490" s="31">
        <f>IF($A490="","",IF($M490-$T490&gt;0,$V490/($M490-$T490),""))</f>
        <v/>
      </c>
      <c r="X490" s="35">
        <f>IF($A490="","",DATE(YEAR($A490),MONTH($A490),1))</f>
        <v/>
      </c>
    </row>
    <row r="491">
      <c r="A491" s="18" t="n"/>
      <c r="B491" s="13" t="n"/>
      <c r="C491" s="13" t="n"/>
      <c r="D491" s="26" t="n"/>
      <c r="E491" s="12" t="n"/>
      <c r="F491" s="12" t="n"/>
      <c r="G491" s="12" t="n"/>
      <c r="H491" s="12" t="n"/>
      <c r="I491" s="13" t="n"/>
      <c r="J491" s="13" t="n"/>
      <c r="K491" s="12" t="n"/>
      <c r="L491" s="13" t="n"/>
      <c r="M491" s="15">
        <f>IF($A491="","",IF($D491="",1,$D491)*$E491+$F491-$H491)</f>
        <v/>
      </c>
      <c r="N491" s="15">
        <f>IF($A491="","",IF($B491="Etsy",IF($D491="",1,$D491)*Settings!$C$19,0))</f>
        <v/>
      </c>
      <c r="O491" s="15">
        <f>IF($A491="","",IF($B491="Etsy",Settings!$C$20*($M491+IF(Settings!$C$54="Y",0,$H491)),0))</f>
        <v/>
      </c>
      <c r="P491" s="15">
        <f>IF($A491="","",IF($B491="Etsy",Settings!$C$21*$M491*(1+Settings!$C$55)+Settings!$C$22,IF($B491="Shopify",Settings!$C$14*$M491+Settings!$C$15,0)))</f>
        <v/>
      </c>
      <c r="Q491" s="15">
        <f>IF($A491="","",IF(AND($B491="Etsy",$I491="Y"),MIN(Settings!$C$12*($M491+IF(Settings!$C$54="Y",0,$H491)),Settings!$C$25),0))</f>
        <v/>
      </c>
      <c r="R491" s="15">
        <f>IF($A491="","",IF(AND($B491="Etsy",$J491="Y",$L491="Y",$M491&gt;0),($O491+Settings!$C$21*$M491*(1+Settings!$C$55)+IF(Settings!$C$59="Y",$Q491,0))*$T491/$M491+IF(AND(Settings!$C$58="Y",$T491&gt;=$M491),Settings!$C$22,0),0))</f>
        <v/>
      </c>
      <c r="S491" s="15">
        <f>IF($A491="","",$N491+$O491+$P491+$Q491-$R491)</f>
        <v/>
      </c>
      <c r="T491" s="15">
        <f>IF($A491="","",IF($J491="Y",IF($K491="",$M491,MIN($K491,$M491)),0))</f>
        <v/>
      </c>
      <c r="U491" s="15">
        <f>IF($A491="","",IF($D491="",1,$D491)*IFERROR(INDEX(Products!$F$5:$F$54,MATCH($C491,Products!$A$5:$A$54,0)),0))</f>
        <v/>
      </c>
      <c r="V491" s="27">
        <f>IF($A491="","",$M491-$T491-$S491-$U491-$G491)</f>
        <v/>
      </c>
      <c r="W491" s="31">
        <f>IF($A491="","",IF($M491-$T491&gt;0,$V491/($M491-$T491),""))</f>
        <v/>
      </c>
      <c r="X491" s="35">
        <f>IF($A491="","",DATE(YEAR($A491),MONTH($A491),1))</f>
        <v/>
      </c>
    </row>
    <row r="492">
      <c r="A492" s="18" t="n"/>
      <c r="B492" s="13" t="n"/>
      <c r="C492" s="13" t="n"/>
      <c r="D492" s="26" t="n"/>
      <c r="E492" s="12" t="n"/>
      <c r="F492" s="12" t="n"/>
      <c r="G492" s="12" t="n"/>
      <c r="H492" s="12" t="n"/>
      <c r="I492" s="13" t="n"/>
      <c r="J492" s="13" t="n"/>
      <c r="K492" s="12" t="n"/>
      <c r="L492" s="13" t="n"/>
      <c r="M492" s="15">
        <f>IF($A492="","",IF($D492="",1,$D492)*$E492+$F492-$H492)</f>
        <v/>
      </c>
      <c r="N492" s="15">
        <f>IF($A492="","",IF($B492="Etsy",IF($D492="",1,$D492)*Settings!$C$19,0))</f>
        <v/>
      </c>
      <c r="O492" s="15">
        <f>IF($A492="","",IF($B492="Etsy",Settings!$C$20*($M492+IF(Settings!$C$54="Y",0,$H492)),0))</f>
        <v/>
      </c>
      <c r="P492" s="15">
        <f>IF($A492="","",IF($B492="Etsy",Settings!$C$21*$M492*(1+Settings!$C$55)+Settings!$C$22,IF($B492="Shopify",Settings!$C$14*$M492+Settings!$C$15,0)))</f>
        <v/>
      </c>
      <c r="Q492" s="15">
        <f>IF($A492="","",IF(AND($B492="Etsy",$I492="Y"),MIN(Settings!$C$12*($M492+IF(Settings!$C$54="Y",0,$H492)),Settings!$C$25),0))</f>
        <v/>
      </c>
      <c r="R492" s="15">
        <f>IF($A492="","",IF(AND($B492="Etsy",$J492="Y",$L492="Y",$M492&gt;0),($O492+Settings!$C$21*$M492*(1+Settings!$C$55)+IF(Settings!$C$59="Y",$Q492,0))*$T492/$M492+IF(AND(Settings!$C$58="Y",$T492&gt;=$M492),Settings!$C$22,0),0))</f>
        <v/>
      </c>
      <c r="S492" s="15">
        <f>IF($A492="","",$N492+$O492+$P492+$Q492-$R492)</f>
        <v/>
      </c>
      <c r="T492" s="15">
        <f>IF($A492="","",IF($J492="Y",IF($K492="",$M492,MIN($K492,$M492)),0))</f>
        <v/>
      </c>
      <c r="U492" s="15">
        <f>IF($A492="","",IF($D492="",1,$D492)*IFERROR(INDEX(Products!$F$5:$F$54,MATCH($C492,Products!$A$5:$A$54,0)),0))</f>
        <v/>
      </c>
      <c r="V492" s="27">
        <f>IF($A492="","",$M492-$T492-$S492-$U492-$G492)</f>
        <v/>
      </c>
      <c r="W492" s="31">
        <f>IF($A492="","",IF($M492-$T492&gt;0,$V492/($M492-$T492),""))</f>
        <v/>
      </c>
      <c r="X492" s="35">
        <f>IF($A492="","",DATE(YEAR($A492),MONTH($A492),1))</f>
        <v/>
      </c>
    </row>
    <row r="493">
      <c r="A493" s="18" t="n"/>
      <c r="B493" s="13" t="n"/>
      <c r="C493" s="13" t="n"/>
      <c r="D493" s="26" t="n"/>
      <c r="E493" s="12" t="n"/>
      <c r="F493" s="12" t="n"/>
      <c r="G493" s="12" t="n"/>
      <c r="H493" s="12" t="n"/>
      <c r="I493" s="13" t="n"/>
      <c r="J493" s="13" t="n"/>
      <c r="K493" s="12" t="n"/>
      <c r="L493" s="13" t="n"/>
      <c r="M493" s="15">
        <f>IF($A493="","",IF($D493="",1,$D493)*$E493+$F493-$H493)</f>
        <v/>
      </c>
      <c r="N493" s="15">
        <f>IF($A493="","",IF($B493="Etsy",IF($D493="",1,$D493)*Settings!$C$19,0))</f>
        <v/>
      </c>
      <c r="O493" s="15">
        <f>IF($A493="","",IF($B493="Etsy",Settings!$C$20*($M493+IF(Settings!$C$54="Y",0,$H493)),0))</f>
        <v/>
      </c>
      <c r="P493" s="15">
        <f>IF($A493="","",IF($B493="Etsy",Settings!$C$21*$M493*(1+Settings!$C$55)+Settings!$C$22,IF($B493="Shopify",Settings!$C$14*$M493+Settings!$C$15,0)))</f>
        <v/>
      </c>
      <c r="Q493" s="15">
        <f>IF($A493="","",IF(AND($B493="Etsy",$I493="Y"),MIN(Settings!$C$12*($M493+IF(Settings!$C$54="Y",0,$H493)),Settings!$C$25),0))</f>
        <v/>
      </c>
      <c r="R493" s="15">
        <f>IF($A493="","",IF(AND($B493="Etsy",$J493="Y",$L493="Y",$M493&gt;0),($O493+Settings!$C$21*$M493*(1+Settings!$C$55)+IF(Settings!$C$59="Y",$Q493,0))*$T493/$M493+IF(AND(Settings!$C$58="Y",$T493&gt;=$M493),Settings!$C$22,0),0))</f>
        <v/>
      </c>
      <c r="S493" s="15">
        <f>IF($A493="","",$N493+$O493+$P493+$Q493-$R493)</f>
        <v/>
      </c>
      <c r="T493" s="15">
        <f>IF($A493="","",IF($J493="Y",IF($K493="",$M493,MIN($K493,$M493)),0))</f>
        <v/>
      </c>
      <c r="U493" s="15">
        <f>IF($A493="","",IF($D493="",1,$D493)*IFERROR(INDEX(Products!$F$5:$F$54,MATCH($C493,Products!$A$5:$A$54,0)),0))</f>
        <v/>
      </c>
      <c r="V493" s="27">
        <f>IF($A493="","",$M493-$T493-$S493-$U493-$G493)</f>
        <v/>
      </c>
      <c r="W493" s="31">
        <f>IF($A493="","",IF($M493-$T493&gt;0,$V493/($M493-$T493),""))</f>
        <v/>
      </c>
      <c r="X493" s="35">
        <f>IF($A493="","",DATE(YEAR($A493),MONTH($A493),1))</f>
        <v/>
      </c>
    </row>
    <row r="494">
      <c r="A494" s="18" t="n"/>
      <c r="B494" s="13" t="n"/>
      <c r="C494" s="13" t="n"/>
      <c r="D494" s="26" t="n"/>
      <c r="E494" s="12" t="n"/>
      <c r="F494" s="12" t="n"/>
      <c r="G494" s="12" t="n"/>
      <c r="H494" s="12" t="n"/>
      <c r="I494" s="13" t="n"/>
      <c r="J494" s="13" t="n"/>
      <c r="K494" s="12" t="n"/>
      <c r="L494" s="13" t="n"/>
      <c r="M494" s="15">
        <f>IF($A494="","",IF($D494="",1,$D494)*$E494+$F494-$H494)</f>
        <v/>
      </c>
      <c r="N494" s="15">
        <f>IF($A494="","",IF($B494="Etsy",IF($D494="",1,$D494)*Settings!$C$19,0))</f>
        <v/>
      </c>
      <c r="O494" s="15">
        <f>IF($A494="","",IF($B494="Etsy",Settings!$C$20*($M494+IF(Settings!$C$54="Y",0,$H494)),0))</f>
        <v/>
      </c>
      <c r="P494" s="15">
        <f>IF($A494="","",IF($B494="Etsy",Settings!$C$21*$M494*(1+Settings!$C$55)+Settings!$C$22,IF($B494="Shopify",Settings!$C$14*$M494+Settings!$C$15,0)))</f>
        <v/>
      </c>
      <c r="Q494" s="15">
        <f>IF($A494="","",IF(AND($B494="Etsy",$I494="Y"),MIN(Settings!$C$12*($M494+IF(Settings!$C$54="Y",0,$H494)),Settings!$C$25),0))</f>
        <v/>
      </c>
      <c r="R494" s="15">
        <f>IF($A494="","",IF(AND($B494="Etsy",$J494="Y",$L494="Y",$M494&gt;0),($O494+Settings!$C$21*$M494*(1+Settings!$C$55)+IF(Settings!$C$59="Y",$Q494,0))*$T494/$M494+IF(AND(Settings!$C$58="Y",$T494&gt;=$M494),Settings!$C$22,0),0))</f>
        <v/>
      </c>
      <c r="S494" s="15">
        <f>IF($A494="","",$N494+$O494+$P494+$Q494-$R494)</f>
        <v/>
      </c>
      <c r="T494" s="15">
        <f>IF($A494="","",IF($J494="Y",IF($K494="",$M494,MIN($K494,$M494)),0))</f>
        <v/>
      </c>
      <c r="U494" s="15">
        <f>IF($A494="","",IF($D494="",1,$D494)*IFERROR(INDEX(Products!$F$5:$F$54,MATCH($C494,Products!$A$5:$A$54,0)),0))</f>
        <v/>
      </c>
      <c r="V494" s="27">
        <f>IF($A494="","",$M494-$T494-$S494-$U494-$G494)</f>
        <v/>
      </c>
      <c r="W494" s="31">
        <f>IF($A494="","",IF($M494-$T494&gt;0,$V494/($M494-$T494),""))</f>
        <v/>
      </c>
      <c r="X494" s="35">
        <f>IF($A494="","",DATE(YEAR($A494),MONTH($A494),1))</f>
        <v/>
      </c>
    </row>
    <row r="495">
      <c r="A495" s="18" t="n"/>
      <c r="B495" s="13" t="n"/>
      <c r="C495" s="13" t="n"/>
      <c r="D495" s="26" t="n"/>
      <c r="E495" s="12" t="n"/>
      <c r="F495" s="12" t="n"/>
      <c r="G495" s="12" t="n"/>
      <c r="H495" s="12" t="n"/>
      <c r="I495" s="13" t="n"/>
      <c r="J495" s="13" t="n"/>
      <c r="K495" s="12" t="n"/>
      <c r="L495" s="13" t="n"/>
      <c r="M495" s="15">
        <f>IF($A495="","",IF($D495="",1,$D495)*$E495+$F495-$H495)</f>
        <v/>
      </c>
      <c r="N495" s="15">
        <f>IF($A495="","",IF($B495="Etsy",IF($D495="",1,$D495)*Settings!$C$19,0))</f>
        <v/>
      </c>
      <c r="O495" s="15">
        <f>IF($A495="","",IF($B495="Etsy",Settings!$C$20*($M495+IF(Settings!$C$54="Y",0,$H495)),0))</f>
        <v/>
      </c>
      <c r="P495" s="15">
        <f>IF($A495="","",IF($B495="Etsy",Settings!$C$21*$M495*(1+Settings!$C$55)+Settings!$C$22,IF($B495="Shopify",Settings!$C$14*$M495+Settings!$C$15,0)))</f>
        <v/>
      </c>
      <c r="Q495" s="15">
        <f>IF($A495="","",IF(AND($B495="Etsy",$I495="Y"),MIN(Settings!$C$12*($M495+IF(Settings!$C$54="Y",0,$H495)),Settings!$C$25),0))</f>
        <v/>
      </c>
      <c r="R495" s="15">
        <f>IF($A495="","",IF(AND($B495="Etsy",$J495="Y",$L495="Y",$M495&gt;0),($O495+Settings!$C$21*$M495*(1+Settings!$C$55)+IF(Settings!$C$59="Y",$Q495,0))*$T495/$M495+IF(AND(Settings!$C$58="Y",$T495&gt;=$M495),Settings!$C$22,0),0))</f>
        <v/>
      </c>
      <c r="S495" s="15">
        <f>IF($A495="","",$N495+$O495+$P495+$Q495-$R495)</f>
        <v/>
      </c>
      <c r="T495" s="15">
        <f>IF($A495="","",IF($J495="Y",IF($K495="",$M495,MIN($K495,$M495)),0))</f>
        <v/>
      </c>
      <c r="U495" s="15">
        <f>IF($A495="","",IF($D495="",1,$D495)*IFERROR(INDEX(Products!$F$5:$F$54,MATCH($C495,Products!$A$5:$A$54,0)),0))</f>
        <v/>
      </c>
      <c r="V495" s="27">
        <f>IF($A495="","",$M495-$T495-$S495-$U495-$G495)</f>
        <v/>
      </c>
      <c r="W495" s="31">
        <f>IF($A495="","",IF($M495-$T495&gt;0,$V495/($M495-$T495),""))</f>
        <v/>
      </c>
      <c r="X495" s="35">
        <f>IF($A495="","",DATE(YEAR($A495),MONTH($A495),1))</f>
        <v/>
      </c>
    </row>
    <row r="496">
      <c r="A496" s="18" t="n"/>
      <c r="B496" s="13" t="n"/>
      <c r="C496" s="13" t="n"/>
      <c r="D496" s="26" t="n"/>
      <c r="E496" s="12" t="n"/>
      <c r="F496" s="12" t="n"/>
      <c r="G496" s="12" t="n"/>
      <c r="H496" s="12" t="n"/>
      <c r="I496" s="13" t="n"/>
      <c r="J496" s="13" t="n"/>
      <c r="K496" s="12" t="n"/>
      <c r="L496" s="13" t="n"/>
      <c r="M496" s="15">
        <f>IF($A496="","",IF($D496="",1,$D496)*$E496+$F496-$H496)</f>
        <v/>
      </c>
      <c r="N496" s="15">
        <f>IF($A496="","",IF($B496="Etsy",IF($D496="",1,$D496)*Settings!$C$19,0))</f>
        <v/>
      </c>
      <c r="O496" s="15">
        <f>IF($A496="","",IF($B496="Etsy",Settings!$C$20*($M496+IF(Settings!$C$54="Y",0,$H496)),0))</f>
        <v/>
      </c>
      <c r="P496" s="15">
        <f>IF($A496="","",IF($B496="Etsy",Settings!$C$21*$M496*(1+Settings!$C$55)+Settings!$C$22,IF($B496="Shopify",Settings!$C$14*$M496+Settings!$C$15,0)))</f>
        <v/>
      </c>
      <c r="Q496" s="15">
        <f>IF($A496="","",IF(AND($B496="Etsy",$I496="Y"),MIN(Settings!$C$12*($M496+IF(Settings!$C$54="Y",0,$H496)),Settings!$C$25),0))</f>
        <v/>
      </c>
      <c r="R496" s="15">
        <f>IF($A496="","",IF(AND($B496="Etsy",$J496="Y",$L496="Y",$M496&gt;0),($O496+Settings!$C$21*$M496*(1+Settings!$C$55)+IF(Settings!$C$59="Y",$Q496,0))*$T496/$M496+IF(AND(Settings!$C$58="Y",$T496&gt;=$M496),Settings!$C$22,0),0))</f>
        <v/>
      </c>
      <c r="S496" s="15">
        <f>IF($A496="","",$N496+$O496+$P496+$Q496-$R496)</f>
        <v/>
      </c>
      <c r="T496" s="15">
        <f>IF($A496="","",IF($J496="Y",IF($K496="",$M496,MIN($K496,$M496)),0))</f>
        <v/>
      </c>
      <c r="U496" s="15">
        <f>IF($A496="","",IF($D496="",1,$D496)*IFERROR(INDEX(Products!$F$5:$F$54,MATCH($C496,Products!$A$5:$A$54,0)),0))</f>
        <v/>
      </c>
      <c r="V496" s="27">
        <f>IF($A496="","",$M496-$T496-$S496-$U496-$G496)</f>
        <v/>
      </c>
      <c r="W496" s="31">
        <f>IF($A496="","",IF($M496-$T496&gt;0,$V496/($M496-$T496),""))</f>
        <v/>
      </c>
      <c r="X496" s="35">
        <f>IF($A496="","",DATE(YEAR($A496),MONTH($A496),1))</f>
        <v/>
      </c>
    </row>
    <row r="497">
      <c r="A497" s="18" t="n"/>
      <c r="B497" s="13" t="n"/>
      <c r="C497" s="13" t="n"/>
      <c r="D497" s="26" t="n"/>
      <c r="E497" s="12" t="n"/>
      <c r="F497" s="12" t="n"/>
      <c r="G497" s="12" t="n"/>
      <c r="H497" s="12" t="n"/>
      <c r="I497" s="13" t="n"/>
      <c r="J497" s="13" t="n"/>
      <c r="K497" s="12" t="n"/>
      <c r="L497" s="13" t="n"/>
      <c r="M497" s="15">
        <f>IF($A497="","",IF($D497="",1,$D497)*$E497+$F497-$H497)</f>
        <v/>
      </c>
      <c r="N497" s="15">
        <f>IF($A497="","",IF($B497="Etsy",IF($D497="",1,$D497)*Settings!$C$19,0))</f>
        <v/>
      </c>
      <c r="O497" s="15">
        <f>IF($A497="","",IF($B497="Etsy",Settings!$C$20*($M497+IF(Settings!$C$54="Y",0,$H497)),0))</f>
        <v/>
      </c>
      <c r="P497" s="15">
        <f>IF($A497="","",IF($B497="Etsy",Settings!$C$21*$M497*(1+Settings!$C$55)+Settings!$C$22,IF($B497="Shopify",Settings!$C$14*$M497+Settings!$C$15,0)))</f>
        <v/>
      </c>
      <c r="Q497" s="15">
        <f>IF($A497="","",IF(AND($B497="Etsy",$I497="Y"),MIN(Settings!$C$12*($M497+IF(Settings!$C$54="Y",0,$H497)),Settings!$C$25),0))</f>
        <v/>
      </c>
      <c r="R497" s="15">
        <f>IF($A497="","",IF(AND($B497="Etsy",$J497="Y",$L497="Y",$M497&gt;0),($O497+Settings!$C$21*$M497*(1+Settings!$C$55)+IF(Settings!$C$59="Y",$Q497,0))*$T497/$M497+IF(AND(Settings!$C$58="Y",$T497&gt;=$M497),Settings!$C$22,0),0))</f>
        <v/>
      </c>
      <c r="S497" s="15">
        <f>IF($A497="","",$N497+$O497+$P497+$Q497-$R497)</f>
        <v/>
      </c>
      <c r="T497" s="15">
        <f>IF($A497="","",IF($J497="Y",IF($K497="",$M497,MIN($K497,$M497)),0))</f>
        <v/>
      </c>
      <c r="U497" s="15">
        <f>IF($A497="","",IF($D497="",1,$D497)*IFERROR(INDEX(Products!$F$5:$F$54,MATCH($C497,Products!$A$5:$A$54,0)),0))</f>
        <v/>
      </c>
      <c r="V497" s="27">
        <f>IF($A497="","",$M497-$T497-$S497-$U497-$G497)</f>
        <v/>
      </c>
      <c r="W497" s="31">
        <f>IF($A497="","",IF($M497-$T497&gt;0,$V497/($M497-$T497),""))</f>
        <v/>
      </c>
      <c r="X497" s="35">
        <f>IF($A497="","",DATE(YEAR($A497),MONTH($A497),1))</f>
        <v/>
      </c>
    </row>
    <row r="498">
      <c r="A498" s="18" t="n"/>
      <c r="B498" s="13" t="n"/>
      <c r="C498" s="13" t="n"/>
      <c r="D498" s="26" t="n"/>
      <c r="E498" s="12" t="n"/>
      <c r="F498" s="12" t="n"/>
      <c r="G498" s="12" t="n"/>
      <c r="H498" s="12" t="n"/>
      <c r="I498" s="13" t="n"/>
      <c r="J498" s="13" t="n"/>
      <c r="K498" s="12" t="n"/>
      <c r="L498" s="13" t="n"/>
      <c r="M498" s="15">
        <f>IF($A498="","",IF($D498="",1,$D498)*$E498+$F498-$H498)</f>
        <v/>
      </c>
      <c r="N498" s="15">
        <f>IF($A498="","",IF($B498="Etsy",IF($D498="",1,$D498)*Settings!$C$19,0))</f>
        <v/>
      </c>
      <c r="O498" s="15">
        <f>IF($A498="","",IF($B498="Etsy",Settings!$C$20*($M498+IF(Settings!$C$54="Y",0,$H498)),0))</f>
        <v/>
      </c>
      <c r="P498" s="15">
        <f>IF($A498="","",IF($B498="Etsy",Settings!$C$21*$M498*(1+Settings!$C$55)+Settings!$C$22,IF($B498="Shopify",Settings!$C$14*$M498+Settings!$C$15,0)))</f>
        <v/>
      </c>
      <c r="Q498" s="15">
        <f>IF($A498="","",IF(AND($B498="Etsy",$I498="Y"),MIN(Settings!$C$12*($M498+IF(Settings!$C$54="Y",0,$H498)),Settings!$C$25),0))</f>
        <v/>
      </c>
      <c r="R498" s="15">
        <f>IF($A498="","",IF(AND($B498="Etsy",$J498="Y",$L498="Y",$M498&gt;0),($O498+Settings!$C$21*$M498*(1+Settings!$C$55)+IF(Settings!$C$59="Y",$Q498,0))*$T498/$M498+IF(AND(Settings!$C$58="Y",$T498&gt;=$M498),Settings!$C$22,0),0))</f>
        <v/>
      </c>
      <c r="S498" s="15">
        <f>IF($A498="","",$N498+$O498+$P498+$Q498-$R498)</f>
        <v/>
      </c>
      <c r="T498" s="15">
        <f>IF($A498="","",IF($J498="Y",IF($K498="",$M498,MIN($K498,$M498)),0))</f>
        <v/>
      </c>
      <c r="U498" s="15">
        <f>IF($A498="","",IF($D498="",1,$D498)*IFERROR(INDEX(Products!$F$5:$F$54,MATCH($C498,Products!$A$5:$A$54,0)),0))</f>
        <v/>
      </c>
      <c r="V498" s="27">
        <f>IF($A498="","",$M498-$T498-$S498-$U498-$G498)</f>
        <v/>
      </c>
      <c r="W498" s="31">
        <f>IF($A498="","",IF($M498-$T498&gt;0,$V498/($M498-$T498),""))</f>
        <v/>
      </c>
      <c r="X498" s="35">
        <f>IF($A498="","",DATE(YEAR($A498),MONTH($A498),1))</f>
        <v/>
      </c>
    </row>
    <row r="499">
      <c r="A499" s="18" t="n"/>
      <c r="B499" s="13" t="n"/>
      <c r="C499" s="13" t="n"/>
      <c r="D499" s="26" t="n"/>
      <c r="E499" s="12" t="n"/>
      <c r="F499" s="12" t="n"/>
      <c r="G499" s="12" t="n"/>
      <c r="H499" s="12" t="n"/>
      <c r="I499" s="13" t="n"/>
      <c r="J499" s="13" t="n"/>
      <c r="K499" s="12" t="n"/>
      <c r="L499" s="13" t="n"/>
      <c r="M499" s="15">
        <f>IF($A499="","",IF($D499="",1,$D499)*$E499+$F499-$H499)</f>
        <v/>
      </c>
      <c r="N499" s="15">
        <f>IF($A499="","",IF($B499="Etsy",IF($D499="",1,$D499)*Settings!$C$19,0))</f>
        <v/>
      </c>
      <c r="O499" s="15">
        <f>IF($A499="","",IF($B499="Etsy",Settings!$C$20*($M499+IF(Settings!$C$54="Y",0,$H499)),0))</f>
        <v/>
      </c>
      <c r="P499" s="15">
        <f>IF($A499="","",IF($B499="Etsy",Settings!$C$21*$M499*(1+Settings!$C$55)+Settings!$C$22,IF($B499="Shopify",Settings!$C$14*$M499+Settings!$C$15,0)))</f>
        <v/>
      </c>
      <c r="Q499" s="15">
        <f>IF($A499="","",IF(AND($B499="Etsy",$I499="Y"),MIN(Settings!$C$12*($M499+IF(Settings!$C$54="Y",0,$H499)),Settings!$C$25),0))</f>
        <v/>
      </c>
      <c r="R499" s="15">
        <f>IF($A499="","",IF(AND($B499="Etsy",$J499="Y",$L499="Y",$M499&gt;0),($O499+Settings!$C$21*$M499*(1+Settings!$C$55)+IF(Settings!$C$59="Y",$Q499,0))*$T499/$M499+IF(AND(Settings!$C$58="Y",$T499&gt;=$M499),Settings!$C$22,0),0))</f>
        <v/>
      </c>
      <c r="S499" s="15">
        <f>IF($A499="","",$N499+$O499+$P499+$Q499-$R499)</f>
        <v/>
      </c>
      <c r="T499" s="15">
        <f>IF($A499="","",IF($J499="Y",IF($K499="",$M499,MIN($K499,$M499)),0))</f>
        <v/>
      </c>
      <c r="U499" s="15">
        <f>IF($A499="","",IF($D499="",1,$D499)*IFERROR(INDEX(Products!$F$5:$F$54,MATCH($C499,Products!$A$5:$A$54,0)),0))</f>
        <v/>
      </c>
      <c r="V499" s="27">
        <f>IF($A499="","",$M499-$T499-$S499-$U499-$G499)</f>
        <v/>
      </c>
      <c r="W499" s="31">
        <f>IF($A499="","",IF($M499-$T499&gt;0,$V499/($M499-$T499),""))</f>
        <v/>
      </c>
      <c r="X499" s="35">
        <f>IF($A499="","",DATE(YEAR($A499),MONTH($A499),1))</f>
        <v/>
      </c>
    </row>
    <row r="500">
      <c r="A500" s="18" t="n"/>
      <c r="B500" s="13" t="n"/>
      <c r="C500" s="13" t="n"/>
      <c r="D500" s="26" t="n"/>
      <c r="E500" s="12" t="n"/>
      <c r="F500" s="12" t="n"/>
      <c r="G500" s="12" t="n"/>
      <c r="H500" s="12" t="n"/>
      <c r="I500" s="13" t="n"/>
      <c r="J500" s="13" t="n"/>
      <c r="K500" s="12" t="n"/>
      <c r="L500" s="13" t="n"/>
      <c r="M500" s="15">
        <f>IF($A500="","",IF($D500="",1,$D500)*$E500+$F500-$H500)</f>
        <v/>
      </c>
      <c r="N500" s="15">
        <f>IF($A500="","",IF($B500="Etsy",IF($D500="",1,$D500)*Settings!$C$19,0))</f>
        <v/>
      </c>
      <c r="O500" s="15">
        <f>IF($A500="","",IF($B500="Etsy",Settings!$C$20*($M500+IF(Settings!$C$54="Y",0,$H500)),0))</f>
        <v/>
      </c>
      <c r="P500" s="15">
        <f>IF($A500="","",IF($B500="Etsy",Settings!$C$21*$M500*(1+Settings!$C$55)+Settings!$C$22,IF($B500="Shopify",Settings!$C$14*$M500+Settings!$C$15,0)))</f>
        <v/>
      </c>
      <c r="Q500" s="15">
        <f>IF($A500="","",IF(AND($B500="Etsy",$I500="Y"),MIN(Settings!$C$12*($M500+IF(Settings!$C$54="Y",0,$H500)),Settings!$C$25),0))</f>
        <v/>
      </c>
      <c r="R500" s="15">
        <f>IF($A500="","",IF(AND($B500="Etsy",$J500="Y",$L500="Y",$M500&gt;0),($O500+Settings!$C$21*$M500*(1+Settings!$C$55)+IF(Settings!$C$59="Y",$Q500,0))*$T500/$M500+IF(AND(Settings!$C$58="Y",$T500&gt;=$M500),Settings!$C$22,0),0))</f>
        <v/>
      </c>
      <c r="S500" s="15">
        <f>IF($A500="","",$N500+$O500+$P500+$Q500-$R500)</f>
        <v/>
      </c>
      <c r="T500" s="15">
        <f>IF($A500="","",IF($J500="Y",IF($K500="",$M500,MIN($K500,$M500)),0))</f>
        <v/>
      </c>
      <c r="U500" s="15">
        <f>IF($A500="","",IF($D500="",1,$D500)*IFERROR(INDEX(Products!$F$5:$F$54,MATCH($C500,Products!$A$5:$A$54,0)),0))</f>
        <v/>
      </c>
      <c r="V500" s="27">
        <f>IF($A500="","",$M500-$T500-$S500-$U500-$G500)</f>
        <v/>
      </c>
      <c r="W500" s="31">
        <f>IF($A500="","",IF($M500-$T500&gt;0,$V500/($M500-$T500),""))</f>
        <v/>
      </c>
      <c r="X500" s="35">
        <f>IF($A500="","",DATE(YEAR($A500),MONTH($A500),1))</f>
        <v/>
      </c>
    </row>
    <row r="501">
      <c r="A501" s="18" t="n"/>
      <c r="B501" s="13" t="n"/>
      <c r="C501" s="13" t="n"/>
      <c r="D501" s="26" t="n"/>
      <c r="E501" s="12" t="n"/>
      <c r="F501" s="12" t="n"/>
      <c r="G501" s="12" t="n"/>
      <c r="H501" s="12" t="n"/>
      <c r="I501" s="13" t="n"/>
      <c r="J501" s="13" t="n"/>
      <c r="K501" s="12" t="n"/>
      <c r="L501" s="13" t="n"/>
      <c r="M501" s="15">
        <f>IF($A501="","",IF($D501="",1,$D501)*$E501+$F501-$H501)</f>
        <v/>
      </c>
      <c r="N501" s="15">
        <f>IF($A501="","",IF($B501="Etsy",IF($D501="",1,$D501)*Settings!$C$19,0))</f>
        <v/>
      </c>
      <c r="O501" s="15">
        <f>IF($A501="","",IF($B501="Etsy",Settings!$C$20*($M501+IF(Settings!$C$54="Y",0,$H501)),0))</f>
        <v/>
      </c>
      <c r="P501" s="15">
        <f>IF($A501="","",IF($B501="Etsy",Settings!$C$21*$M501*(1+Settings!$C$55)+Settings!$C$22,IF($B501="Shopify",Settings!$C$14*$M501+Settings!$C$15,0)))</f>
        <v/>
      </c>
      <c r="Q501" s="15">
        <f>IF($A501="","",IF(AND($B501="Etsy",$I501="Y"),MIN(Settings!$C$12*($M501+IF(Settings!$C$54="Y",0,$H501)),Settings!$C$25),0))</f>
        <v/>
      </c>
      <c r="R501" s="15">
        <f>IF($A501="","",IF(AND($B501="Etsy",$J501="Y",$L501="Y",$M501&gt;0),($O501+Settings!$C$21*$M501*(1+Settings!$C$55)+IF(Settings!$C$59="Y",$Q501,0))*$T501/$M501+IF(AND(Settings!$C$58="Y",$T501&gt;=$M501),Settings!$C$22,0),0))</f>
        <v/>
      </c>
      <c r="S501" s="15">
        <f>IF($A501="","",$N501+$O501+$P501+$Q501-$R501)</f>
        <v/>
      </c>
      <c r="T501" s="15">
        <f>IF($A501="","",IF($J501="Y",IF($K501="",$M501,MIN($K501,$M501)),0))</f>
        <v/>
      </c>
      <c r="U501" s="15">
        <f>IF($A501="","",IF($D501="",1,$D501)*IFERROR(INDEX(Products!$F$5:$F$54,MATCH($C501,Products!$A$5:$A$54,0)),0))</f>
        <v/>
      </c>
      <c r="V501" s="27">
        <f>IF($A501="","",$M501-$T501-$S501-$U501-$G501)</f>
        <v/>
      </c>
      <c r="W501" s="31">
        <f>IF($A501="","",IF($M501-$T501&gt;0,$V501/($M501-$T501),""))</f>
        <v/>
      </c>
      <c r="X501" s="35">
        <f>IF($A501="","",DATE(YEAR($A501),MONTH($A501),1))</f>
        <v/>
      </c>
    </row>
    <row r="502">
      <c r="A502" s="18" t="n"/>
      <c r="B502" s="13" t="n"/>
      <c r="C502" s="13" t="n"/>
      <c r="D502" s="26" t="n"/>
      <c r="E502" s="12" t="n"/>
      <c r="F502" s="12" t="n"/>
      <c r="G502" s="12" t="n"/>
      <c r="H502" s="12" t="n"/>
      <c r="I502" s="13" t="n"/>
      <c r="J502" s="13" t="n"/>
      <c r="K502" s="12" t="n"/>
      <c r="L502" s="13" t="n"/>
      <c r="M502" s="15">
        <f>IF($A502="","",IF($D502="",1,$D502)*$E502+$F502-$H502)</f>
        <v/>
      </c>
      <c r="N502" s="15">
        <f>IF($A502="","",IF($B502="Etsy",IF($D502="",1,$D502)*Settings!$C$19,0))</f>
        <v/>
      </c>
      <c r="O502" s="15">
        <f>IF($A502="","",IF($B502="Etsy",Settings!$C$20*($M502+IF(Settings!$C$54="Y",0,$H502)),0))</f>
        <v/>
      </c>
      <c r="P502" s="15">
        <f>IF($A502="","",IF($B502="Etsy",Settings!$C$21*$M502*(1+Settings!$C$55)+Settings!$C$22,IF($B502="Shopify",Settings!$C$14*$M502+Settings!$C$15,0)))</f>
        <v/>
      </c>
      <c r="Q502" s="15">
        <f>IF($A502="","",IF(AND($B502="Etsy",$I502="Y"),MIN(Settings!$C$12*($M502+IF(Settings!$C$54="Y",0,$H502)),Settings!$C$25),0))</f>
        <v/>
      </c>
      <c r="R502" s="15">
        <f>IF($A502="","",IF(AND($B502="Etsy",$J502="Y",$L502="Y",$M502&gt;0),($O502+Settings!$C$21*$M502*(1+Settings!$C$55)+IF(Settings!$C$59="Y",$Q502,0))*$T502/$M502+IF(AND(Settings!$C$58="Y",$T502&gt;=$M502),Settings!$C$22,0),0))</f>
        <v/>
      </c>
      <c r="S502" s="15">
        <f>IF($A502="","",$N502+$O502+$P502+$Q502-$R502)</f>
        <v/>
      </c>
      <c r="T502" s="15">
        <f>IF($A502="","",IF($J502="Y",IF($K502="",$M502,MIN($K502,$M502)),0))</f>
        <v/>
      </c>
      <c r="U502" s="15">
        <f>IF($A502="","",IF($D502="",1,$D502)*IFERROR(INDEX(Products!$F$5:$F$54,MATCH($C502,Products!$A$5:$A$54,0)),0))</f>
        <v/>
      </c>
      <c r="V502" s="27">
        <f>IF($A502="","",$M502-$T502-$S502-$U502-$G502)</f>
        <v/>
      </c>
      <c r="W502" s="31">
        <f>IF($A502="","",IF($M502-$T502&gt;0,$V502/($M502-$T502),""))</f>
        <v/>
      </c>
      <c r="X502" s="35">
        <f>IF($A502="","",DATE(YEAR($A502),MONTH($A502),1))</f>
        <v/>
      </c>
    </row>
    <row r="503">
      <c r="A503" s="18" t="n"/>
      <c r="B503" s="13" t="n"/>
      <c r="C503" s="13" t="n"/>
      <c r="D503" s="26" t="n"/>
      <c r="E503" s="12" t="n"/>
      <c r="F503" s="12" t="n"/>
      <c r="G503" s="12" t="n"/>
      <c r="H503" s="12" t="n"/>
      <c r="I503" s="13" t="n"/>
      <c r="J503" s="13" t="n"/>
      <c r="K503" s="12" t="n"/>
      <c r="L503" s="13" t="n"/>
      <c r="M503" s="15">
        <f>IF($A503="","",IF($D503="",1,$D503)*$E503+$F503-$H503)</f>
        <v/>
      </c>
      <c r="N503" s="15">
        <f>IF($A503="","",IF($B503="Etsy",IF($D503="",1,$D503)*Settings!$C$19,0))</f>
        <v/>
      </c>
      <c r="O503" s="15">
        <f>IF($A503="","",IF($B503="Etsy",Settings!$C$20*($M503+IF(Settings!$C$54="Y",0,$H503)),0))</f>
        <v/>
      </c>
      <c r="P503" s="15">
        <f>IF($A503="","",IF($B503="Etsy",Settings!$C$21*$M503*(1+Settings!$C$55)+Settings!$C$22,IF($B503="Shopify",Settings!$C$14*$M503+Settings!$C$15,0)))</f>
        <v/>
      </c>
      <c r="Q503" s="15">
        <f>IF($A503="","",IF(AND($B503="Etsy",$I503="Y"),MIN(Settings!$C$12*($M503+IF(Settings!$C$54="Y",0,$H503)),Settings!$C$25),0))</f>
        <v/>
      </c>
      <c r="R503" s="15">
        <f>IF($A503="","",IF(AND($B503="Etsy",$J503="Y",$L503="Y",$M503&gt;0),($O503+Settings!$C$21*$M503*(1+Settings!$C$55)+IF(Settings!$C$59="Y",$Q503,0))*$T503/$M503+IF(AND(Settings!$C$58="Y",$T503&gt;=$M503),Settings!$C$22,0),0))</f>
        <v/>
      </c>
      <c r="S503" s="15">
        <f>IF($A503="","",$N503+$O503+$P503+$Q503-$R503)</f>
        <v/>
      </c>
      <c r="T503" s="15">
        <f>IF($A503="","",IF($J503="Y",IF($K503="",$M503,MIN($K503,$M503)),0))</f>
        <v/>
      </c>
      <c r="U503" s="15">
        <f>IF($A503="","",IF($D503="",1,$D503)*IFERROR(INDEX(Products!$F$5:$F$54,MATCH($C503,Products!$A$5:$A$54,0)),0))</f>
        <v/>
      </c>
      <c r="V503" s="27">
        <f>IF($A503="","",$M503-$T503-$S503-$U503-$G503)</f>
        <v/>
      </c>
      <c r="W503" s="31">
        <f>IF($A503="","",IF($M503-$T503&gt;0,$V503/($M503-$T503),""))</f>
        <v/>
      </c>
      <c r="X503" s="35">
        <f>IF($A503="","",DATE(YEAR($A503),MONTH($A503),1))</f>
        <v/>
      </c>
    </row>
    <row r="504">
      <c r="A504" s="18" t="n"/>
      <c r="B504" s="13" t="n"/>
      <c r="C504" s="13" t="n"/>
      <c r="D504" s="26" t="n"/>
      <c r="E504" s="12" t="n"/>
      <c r="F504" s="12" t="n"/>
      <c r="G504" s="12" t="n"/>
      <c r="H504" s="12" t="n"/>
      <c r="I504" s="13" t="n"/>
      <c r="J504" s="13" t="n"/>
      <c r="K504" s="12" t="n"/>
      <c r="L504" s="13" t="n"/>
      <c r="M504" s="15">
        <f>IF($A504="","",IF($D504="",1,$D504)*$E504+$F504-$H504)</f>
        <v/>
      </c>
      <c r="N504" s="15">
        <f>IF($A504="","",IF($B504="Etsy",IF($D504="",1,$D504)*Settings!$C$19,0))</f>
        <v/>
      </c>
      <c r="O504" s="15">
        <f>IF($A504="","",IF($B504="Etsy",Settings!$C$20*($M504+IF(Settings!$C$54="Y",0,$H504)),0))</f>
        <v/>
      </c>
      <c r="P504" s="15">
        <f>IF($A504="","",IF($B504="Etsy",Settings!$C$21*$M504*(1+Settings!$C$55)+Settings!$C$22,IF($B504="Shopify",Settings!$C$14*$M504+Settings!$C$15,0)))</f>
        <v/>
      </c>
      <c r="Q504" s="15">
        <f>IF($A504="","",IF(AND($B504="Etsy",$I504="Y"),MIN(Settings!$C$12*($M504+IF(Settings!$C$54="Y",0,$H504)),Settings!$C$25),0))</f>
        <v/>
      </c>
      <c r="R504" s="15">
        <f>IF($A504="","",IF(AND($B504="Etsy",$J504="Y",$L504="Y",$M504&gt;0),($O504+Settings!$C$21*$M504*(1+Settings!$C$55)+IF(Settings!$C$59="Y",$Q504,0))*$T504/$M504+IF(AND(Settings!$C$58="Y",$T504&gt;=$M504),Settings!$C$22,0),0))</f>
        <v/>
      </c>
      <c r="S504" s="15">
        <f>IF($A504="","",$N504+$O504+$P504+$Q504-$R504)</f>
        <v/>
      </c>
      <c r="T504" s="15">
        <f>IF($A504="","",IF($J504="Y",IF($K504="",$M504,MIN($K504,$M504)),0))</f>
        <v/>
      </c>
      <c r="U504" s="15">
        <f>IF($A504="","",IF($D504="",1,$D504)*IFERROR(INDEX(Products!$F$5:$F$54,MATCH($C504,Products!$A$5:$A$54,0)),0))</f>
        <v/>
      </c>
      <c r="V504" s="27">
        <f>IF($A504="","",$M504-$T504-$S504-$U504-$G504)</f>
        <v/>
      </c>
      <c r="W504" s="31">
        <f>IF($A504="","",IF($M504-$T504&gt;0,$V504/($M504-$T504),""))</f>
        <v/>
      </c>
      <c r="X504" s="35">
        <f>IF($A504="","",DATE(YEAR($A504),MONTH($A504),1))</f>
        <v/>
      </c>
    </row>
    <row r="505">
      <c r="A505" s="18" t="n"/>
      <c r="B505" s="13" t="n"/>
      <c r="C505" s="13" t="n"/>
      <c r="D505" s="26" t="n"/>
      <c r="E505" s="12" t="n"/>
      <c r="F505" s="12" t="n"/>
      <c r="G505" s="12" t="n"/>
      <c r="H505" s="12" t="n"/>
      <c r="I505" s="13" t="n"/>
      <c r="J505" s="13" t="n"/>
      <c r="K505" s="12" t="n"/>
      <c r="L505" s="13" t="n"/>
      <c r="M505" s="15">
        <f>IF($A505="","",IF($D505="",1,$D505)*$E505+$F505-$H505)</f>
        <v/>
      </c>
      <c r="N505" s="15">
        <f>IF($A505="","",IF($B505="Etsy",IF($D505="",1,$D505)*Settings!$C$19,0))</f>
        <v/>
      </c>
      <c r="O505" s="15">
        <f>IF($A505="","",IF($B505="Etsy",Settings!$C$20*($M505+IF(Settings!$C$54="Y",0,$H505)),0))</f>
        <v/>
      </c>
      <c r="P505" s="15">
        <f>IF($A505="","",IF($B505="Etsy",Settings!$C$21*$M505*(1+Settings!$C$55)+Settings!$C$22,IF($B505="Shopify",Settings!$C$14*$M505+Settings!$C$15,0)))</f>
        <v/>
      </c>
      <c r="Q505" s="15">
        <f>IF($A505="","",IF(AND($B505="Etsy",$I505="Y"),MIN(Settings!$C$12*($M505+IF(Settings!$C$54="Y",0,$H505)),Settings!$C$25),0))</f>
        <v/>
      </c>
      <c r="R505" s="15">
        <f>IF($A505="","",IF(AND($B505="Etsy",$J505="Y",$L505="Y",$M505&gt;0),($O505+Settings!$C$21*$M505*(1+Settings!$C$55)+IF(Settings!$C$59="Y",$Q505,0))*$T505/$M505+IF(AND(Settings!$C$58="Y",$T505&gt;=$M505),Settings!$C$22,0),0))</f>
        <v/>
      </c>
      <c r="S505" s="15">
        <f>IF($A505="","",$N505+$O505+$P505+$Q505-$R505)</f>
        <v/>
      </c>
      <c r="T505" s="15">
        <f>IF($A505="","",IF($J505="Y",IF($K505="",$M505,MIN($K505,$M505)),0))</f>
        <v/>
      </c>
      <c r="U505" s="15">
        <f>IF($A505="","",IF($D505="",1,$D505)*IFERROR(INDEX(Products!$F$5:$F$54,MATCH($C505,Products!$A$5:$A$54,0)),0))</f>
        <v/>
      </c>
      <c r="V505" s="27">
        <f>IF($A505="","",$M505-$T505-$S505-$U505-$G505)</f>
        <v/>
      </c>
      <c r="W505" s="31">
        <f>IF($A505="","",IF($M505-$T505&gt;0,$V505/($M505-$T505),""))</f>
        <v/>
      </c>
      <c r="X505" s="35">
        <f>IF($A505="","",DATE(YEAR($A505),MONTH($A505),1))</f>
        <v/>
      </c>
    </row>
  </sheetData>
  <sheetProtection selectLockedCells="0" selectUnlockedCells="0" sheet="1" objects="0" insertRows="1" insertHyperlinks="1" autoFilter="1" scenarios="0" formatColumns="0" deleteColumns="1" insertColumns="1" pivotTables="1" deleteRows="1" formatCells="0" formatRows="0" sort="1"/>
  <dataValidations count="5">
    <dataValidation sqref="B6:B505" showDropDown="0" showInputMessage="0" showErrorMessage="0" allowBlank="1" errorTitle="Pick from the list" error="Please pick a value from the list." type="list">
      <formula1>"Etsy,Shopify"</formula1>
    </dataValidation>
    <dataValidation sqref="C6:C505" showDropDown="0" showInputMessage="0" showErrorMessage="0" allowBlank="1" errorTitle="Pick from the list" error="Please pick a value from the list." type="list">
      <formula1>Products!$A$5:$A$54</formula1>
    </dataValidation>
    <dataValidation sqref="I6:I505 J6:J505 L6:L505" showDropDown="0" showInputMessage="0" showErrorMessage="0" allowBlank="1" errorTitle="Pick from the list" error="Please pick a value from the list." type="list">
      <formula1>"Y,N"</formula1>
    </dataValidation>
    <dataValidation sqref="D6:D505" showDropDown="0" showInputMessage="0" showErrorMessage="0" allowBlank="1" error="Quantity must be a whole number, 1 or more." type="whole" operator="greaterThanOrEqual">
      <formula1>1</formula1>
    </dataValidation>
    <dataValidation sqref="A6:A505" showDropDown="0" showInputMessage="0" showErrorMessage="0" allowBlank="1" error="Enter a date, e.g. 2026-10-21." type="date" operator="greaterThan">
      <formula1>36526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5"/>
  <sheetViews>
    <sheetView workbookViewId="0">
      <pane ySplit="5" topLeftCell="A6"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3" customWidth="1" min="5" max="5"/>
    <col width="12" customWidth="1" min="6" max="6"/>
    <col width="13" customWidth="1" min="7" max="7"/>
    <col width="11" customWidth="1" min="8" max="8"/>
  </cols>
  <sheetData>
    <row r="1">
      <c r="A1" s="8" t="inlineStr">
        <is>
          <t>Expenses</t>
        </is>
      </c>
    </row>
    <row r="2">
      <c r="A2" s="9" t="inlineStr">
        <is>
          <t>Monthly overhead that isn't tied to one product. One row per month (or several rows per month - they add up).</t>
        </is>
      </c>
    </row>
    <row r="3">
      <c r="A3" s="9" t="inlineStr">
        <is>
          <t>Any date inside the month works. Put your Shopify plan bill here; Settings' plan picker only drives the Price Calculator.</t>
        </is>
      </c>
    </row>
    <row r="5" ht="45" customHeight="1">
      <c r="A5" s="16" t="inlineStr">
        <is>
          <t>Month (any date in it)</t>
        </is>
      </c>
      <c r="B5" s="16" t="inlineStr">
        <is>
          <t>Subscriptions &amp; tools</t>
        </is>
      </c>
      <c r="C5" s="16" t="inlineStr">
        <is>
          <t>Shopify plan &amp; apps</t>
        </is>
      </c>
      <c r="D5" s="16" t="inlineStr">
        <is>
          <t>Supplies (not per product)</t>
        </is>
      </c>
      <c r="E5" s="16" t="inlineStr">
        <is>
          <t>Etsy Ads spend</t>
        </is>
      </c>
      <c r="F5" s="16" t="inlineStr">
        <is>
          <t>Other</t>
        </is>
      </c>
      <c r="G5" s="16" t="inlineStr">
        <is>
          <t>Total</t>
        </is>
      </c>
      <c r="H5" s="16" t="inlineStr">
        <is>
          <t>Month key</t>
        </is>
      </c>
    </row>
    <row r="6">
      <c r="A6" s="18" t="n">
        <v>46235</v>
      </c>
      <c r="B6" s="12" t="n">
        <v>12.99</v>
      </c>
      <c r="C6" s="12" t="n">
        <v>27</v>
      </c>
      <c r="D6" s="12" t="n">
        <v>8.4</v>
      </c>
      <c r="E6" s="12" t="n">
        <v>15</v>
      </c>
      <c r="F6" s="12" t="n">
        <v>0</v>
      </c>
      <c r="G6" s="27">
        <f>IF($A6="","",SUM($B6:$F6))</f>
        <v/>
      </c>
      <c r="H6" s="35">
        <f>IF($A6="","",DATE(YEAR($A6),MONTH($A6),1))</f>
        <v/>
      </c>
    </row>
    <row r="7">
      <c r="A7" s="18" t="n">
        <v>46266</v>
      </c>
      <c r="B7" s="12" t="n">
        <v>12.99</v>
      </c>
      <c r="C7" s="12" t="n">
        <v>27</v>
      </c>
      <c r="D7" s="12" t="n">
        <v>6.15</v>
      </c>
      <c r="E7" s="12" t="n">
        <v>15</v>
      </c>
      <c r="F7" s="12" t="n">
        <v>4.99</v>
      </c>
      <c r="G7" s="27">
        <f>IF($A7="","",SUM($B7:$F7))</f>
        <v/>
      </c>
      <c r="H7" s="35">
        <f>IF($A7="","",DATE(YEAR($A7),MONTH($A7),1))</f>
        <v/>
      </c>
    </row>
    <row r="8">
      <c r="A8" s="18" t="n">
        <v>46296</v>
      </c>
      <c r="B8" s="12" t="n">
        <v>12.99</v>
      </c>
      <c r="C8" s="12" t="n">
        <v>27</v>
      </c>
      <c r="D8" s="12" t="n">
        <v>5.8</v>
      </c>
      <c r="E8" s="12" t="n">
        <v>20</v>
      </c>
      <c r="F8" s="12" t="n">
        <v>0</v>
      </c>
      <c r="G8" s="27">
        <f>IF($A8="","",SUM($B8:$F8))</f>
        <v/>
      </c>
      <c r="H8" s="35">
        <f>IF($A8="","",DATE(YEAR($A8),MONTH($A8),1))</f>
        <v/>
      </c>
    </row>
    <row r="9">
      <c r="A9" s="18" t="n"/>
      <c r="B9" s="12" t="n"/>
      <c r="C9" s="12" t="n"/>
      <c r="D9" s="12" t="n"/>
      <c r="E9" s="12" t="n"/>
      <c r="F9" s="12" t="n"/>
      <c r="G9" s="27">
        <f>IF($A9="","",SUM($B9:$F9))</f>
        <v/>
      </c>
      <c r="H9" s="35">
        <f>IF($A9="","",DATE(YEAR($A9),MONTH($A9),1))</f>
        <v/>
      </c>
    </row>
    <row r="10">
      <c r="A10" s="18" t="n"/>
      <c r="B10" s="12" t="n"/>
      <c r="C10" s="12" t="n"/>
      <c r="D10" s="12" t="n"/>
      <c r="E10" s="12" t="n"/>
      <c r="F10" s="12" t="n"/>
      <c r="G10" s="27">
        <f>IF($A10="","",SUM($B10:$F10))</f>
        <v/>
      </c>
      <c r="H10" s="35">
        <f>IF($A10="","",DATE(YEAR($A10),MONTH($A10),1))</f>
        <v/>
      </c>
    </row>
    <row r="11">
      <c r="A11" s="18" t="n"/>
      <c r="B11" s="12" t="n"/>
      <c r="C11" s="12" t="n"/>
      <c r="D11" s="12" t="n"/>
      <c r="E11" s="12" t="n"/>
      <c r="F11" s="12" t="n"/>
      <c r="G11" s="27">
        <f>IF($A11="","",SUM($B11:$F11))</f>
        <v/>
      </c>
      <c r="H11" s="35">
        <f>IF($A11="","",DATE(YEAR($A11),MONTH($A11),1))</f>
        <v/>
      </c>
    </row>
    <row r="12">
      <c r="A12" s="18" t="n"/>
      <c r="B12" s="12" t="n"/>
      <c r="C12" s="12" t="n"/>
      <c r="D12" s="12" t="n"/>
      <c r="E12" s="12" t="n"/>
      <c r="F12" s="12" t="n"/>
      <c r="G12" s="27">
        <f>IF($A12="","",SUM($B12:$F12))</f>
        <v/>
      </c>
      <c r="H12" s="35">
        <f>IF($A12="","",DATE(YEAR($A12),MONTH($A12),1))</f>
        <v/>
      </c>
    </row>
    <row r="13">
      <c r="A13" s="18" t="n"/>
      <c r="B13" s="12" t="n"/>
      <c r="C13" s="12" t="n"/>
      <c r="D13" s="12" t="n"/>
      <c r="E13" s="12" t="n"/>
      <c r="F13" s="12" t="n"/>
      <c r="G13" s="27">
        <f>IF($A13="","",SUM($B13:$F13))</f>
        <v/>
      </c>
      <c r="H13" s="35">
        <f>IF($A13="","",DATE(YEAR($A13),MONTH($A13),1))</f>
        <v/>
      </c>
    </row>
    <row r="14">
      <c r="A14" s="18" t="n"/>
      <c r="B14" s="12" t="n"/>
      <c r="C14" s="12" t="n"/>
      <c r="D14" s="12" t="n"/>
      <c r="E14" s="12" t="n"/>
      <c r="F14" s="12" t="n"/>
      <c r="G14" s="27">
        <f>IF($A14="","",SUM($B14:$F14))</f>
        <v/>
      </c>
      <c r="H14" s="35">
        <f>IF($A14="","",DATE(YEAR($A14),MONTH($A14),1))</f>
        <v/>
      </c>
    </row>
    <row r="15">
      <c r="A15" s="18" t="n"/>
      <c r="B15" s="12" t="n"/>
      <c r="C15" s="12" t="n"/>
      <c r="D15" s="12" t="n"/>
      <c r="E15" s="12" t="n"/>
      <c r="F15" s="12" t="n"/>
      <c r="G15" s="27">
        <f>IF($A15="","",SUM($B15:$F15))</f>
        <v/>
      </c>
      <c r="H15" s="35">
        <f>IF($A15="","",DATE(YEAR($A15),MONTH($A15),1))</f>
        <v/>
      </c>
    </row>
    <row r="16">
      <c r="A16" s="18" t="n"/>
      <c r="B16" s="12" t="n"/>
      <c r="C16" s="12" t="n"/>
      <c r="D16" s="12" t="n"/>
      <c r="E16" s="12" t="n"/>
      <c r="F16" s="12" t="n"/>
      <c r="G16" s="27">
        <f>IF($A16="","",SUM($B16:$F16))</f>
        <v/>
      </c>
      <c r="H16" s="35">
        <f>IF($A16="","",DATE(YEAR($A16),MONTH($A16),1))</f>
        <v/>
      </c>
    </row>
    <row r="17">
      <c r="A17" s="18" t="n"/>
      <c r="B17" s="12" t="n"/>
      <c r="C17" s="12" t="n"/>
      <c r="D17" s="12" t="n"/>
      <c r="E17" s="12" t="n"/>
      <c r="F17" s="12" t="n"/>
      <c r="G17" s="27">
        <f>IF($A17="","",SUM($B17:$F17))</f>
        <v/>
      </c>
      <c r="H17" s="35">
        <f>IF($A17="","",DATE(YEAR($A17),MONTH($A17),1))</f>
        <v/>
      </c>
    </row>
    <row r="18">
      <c r="A18" s="18" t="n"/>
      <c r="B18" s="12" t="n"/>
      <c r="C18" s="12" t="n"/>
      <c r="D18" s="12" t="n"/>
      <c r="E18" s="12" t="n"/>
      <c r="F18" s="12" t="n"/>
      <c r="G18" s="27">
        <f>IF($A18="","",SUM($B18:$F18))</f>
        <v/>
      </c>
      <c r="H18" s="35">
        <f>IF($A18="","",DATE(YEAR($A18),MONTH($A18),1))</f>
        <v/>
      </c>
    </row>
    <row r="19">
      <c r="A19" s="18" t="n"/>
      <c r="B19" s="12" t="n"/>
      <c r="C19" s="12" t="n"/>
      <c r="D19" s="12" t="n"/>
      <c r="E19" s="12" t="n"/>
      <c r="F19" s="12" t="n"/>
      <c r="G19" s="27">
        <f>IF($A19="","",SUM($B19:$F19))</f>
        <v/>
      </c>
      <c r="H19" s="35">
        <f>IF($A19="","",DATE(YEAR($A19),MONTH($A19),1))</f>
        <v/>
      </c>
    </row>
    <row r="20">
      <c r="A20" s="18" t="n"/>
      <c r="B20" s="12" t="n"/>
      <c r="C20" s="12" t="n"/>
      <c r="D20" s="12" t="n"/>
      <c r="E20" s="12" t="n"/>
      <c r="F20" s="12" t="n"/>
      <c r="G20" s="27">
        <f>IF($A20="","",SUM($B20:$F20))</f>
        <v/>
      </c>
      <c r="H20" s="35">
        <f>IF($A20="","",DATE(YEAR($A20),MONTH($A20),1))</f>
        <v/>
      </c>
    </row>
    <row r="21">
      <c r="A21" s="18" t="n"/>
      <c r="B21" s="12" t="n"/>
      <c r="C21" s="12" t="n"/>
      <c r="D21" s="12" t="n"/>
      <c r="E21" s="12" t="n"/>
      <c r="F21" s="12" t="n"/>
      <c r="G21" s="27">
        <f>IF($A21="","",SUM($B21:$F21))</f>
        <v/>
      </c>
      <c r="H21" s="35">
        <f>IF($A21="","",DATE(YEAR($A21),MONTH($A21),1))</f>
        <v/>
      </c>
    </row>
    <row r="22">
      <c r="A22" s="18" t="n"/>
      <c r="B22" s="12" t="n"/>
      <c r="C22" s="12" t="n"/>
      <c r="D22" s="12" t="n"/>
      <c r="E22" s="12" t="n"/>
      <c r="F22" s="12" t="n"/>
      <c r="G22" s="27">
        <f>IF($A22="","",SUM($B22:$F22))</f>
        <v/>
      </c>
      <c r="H22" s="35">
        <f>IF($A22="","",DATE(YEAR($A22),MONTH($A22),1))</f>
        <v/>
      </c>
    </row>
    <row r="23">
      <c r="A23" s="18" t="n"/>
      <c r="B23" s="12" t="n"/>
      <c r="C23" s="12" t="n"/>
      <c r="D23" s="12" t="n"/>
      <c r="E23" s="12" t="n"/>
      <c r="F23" s="12" t="n"/>
      <c r="G23" s="27">
        <f>IF($A23="","",SUM($B23:$F23))</f>
        <v/>
      </c>
      <c r="H23" s="35">
        <f>IF($A23="","",DATE(YEAR($A23),MONTH($A23),1))</f>
        <v/>
      </c>
    </row>
    <row r="24">
      <c r="A24" s="18" t="n"/>
      <c r="B24" s="12" t="n"/>
      <c r="C24" s="12" t="n"/>
      <c r="D24" s="12" t="n"/>
      <c r="E24" s="12" t="n"/>
      <c r="F24" s="12" t="n"/>
      <c r="G24" s="27">
        <f>IF($A24="","",SUM($B24:$F24))</f>
        <v/>
      </c>
      <c r="H24" s="35">
        <f>IF($A24="","",DATE(YEAR($A24),MONTH($A24),1))</f>
        <v/>
      </c>
    </row>
    <row r="25">
      <c r="A25" s="18" t="n"/>
      <c r="B25" s="12" t="n"/>
      <c r="C25" s="12" t="n"/>
      <c r="D25" s="12" t="n"/>
      <c r="E25" s="12" t="n"/>
      <c r="F25" s="12" t="n"/>
      <c r="G25" s="27">
        <f>IF($A25="","",SUM($B25:$F25))</f>
        <v/>
      </c>
      <c r="H25" s="35">
        <f>IF($A25="","",DATE(YEAR($A25),MONTH($A25),1))</f>
        <v/>
      </c>
    </row>
    <row r="26">
      <c r="A26" s="18" t="n"/>
      <c r="B26" s="12" t="n"/>
      <c r="C26" s="12" t="n"/>
      <c r="D26" s="12" t="n"/>
      <c r="E26" s="12" t="n"/>
      <c r="F26" s="12" t="n"/>
      <c r="G26" s="27">
        <f>IF($A26="","",SUM($B26:$F26))</f>
        <v/>
      </c>
      <c r="H26" s="35">
        <f>IF($A26="","",DATE(YEAR($A26),MONTH($A26),1))</f>
        <v/>
      </c>
    </row>
    <row r="27">
      <c r="A27" s="18" t="n"/>
      <c r="B27" s="12" t="n"/>
      <c r="C27" s="12" t="n"/>
      <c r="D27" s="12" t="n"/>
      <c r="E27" s="12" t="n"/>
      <c r="F27" s="12" t="n"/>
      <c r="G27" s="27">
        <f>IF($A27="","",SUM($B27:$F27))</f>
        <v/>
      </c>
      <c r="H27" s="35">
        <f>IF($A27="","",DATE(YEAR($A27),MONTH($A27),1))</f>
        <v/>
      </c>
    </row>
    <row r="28">
      <c r="A28" s="18" t="n"/>
      <c r="B28" s="12" t="n"/>
      <c r="C28" s="12" t="n"/>
      <c r="D28" s="12" t="n"/>
      <c r="E28" s="12" t="n"/>
      <c r="F28" s="12" t="n"/>
      <c r="G28" s="27">
        <f>IF($A28="","",SUM($B28:$F28))</f>
        <v/>
      </c>
      <c r="H28" s="35">
        <f>IF($A28="","",DATE(YEAR($A28),MONTH($A28),1))</f>
        <v/>
      </c>
    </row>
    <row r="29">
      <c r="A29" s="18" t="n"/>
      <c r="B29" s="12" t="n"/>
      <c r="C29" s="12" t="n"/>
      <c r="D29" s="12" t="n"/>
      <c r="E29" s="12" t="n"/>
      <c r="F29" s="12" t="n"/>
      <c r="G29" s="27">
        <f>IF($A29="","",SUM($B29:$F29))</f>
        <v/>
      </c>
      <c r="H29" s="35">
        <f>IF($A29="","",DATE(YEAR($A29),MONTH($A29),1))</f>
        <v/>
      </c>
    </row>
    <row r="30">
      <c r="A30" s="18" t="n"/>
      <c r="B30" s="12" t="n"/>
      <c r="C30" s="12" t="n"/>
      <c r="D30" s="12" t="n"/>
      <c r="E30" s="12" t="n"/>
      <c r="F30" s="12" t="n"/>
      <c r="G30" s="27">
        <f>IF($A30="","",SUM($B30:$F30))</f>
        <v/>
      </c>
      <c r="H30" s="35">
        <f>IF($A30="","",DATE(YEAR($A30),MONTH($A30),1))</f>
        <v/>
      </c>
    </row>
    <row r="31">
      <c r="A31" s="18" t="n"/>
      <c r="B31" s="12" t="n"/>
      <c r="C31" s="12" t="n"/>
      <c r="D31" s="12" t="n"/>
      <c r="E31" s="12" t="n"/>
      <c r="F31" s="12" t="n"/>
      <c r="G31" s="27">
        <f>IF($A31="","",SUM($B31:$F31))</f>
        <v/>
      </c>
      <c r="H31" s="35">
        <f>IF($A31="","",DATE(YEAR($A31),MONTH($A31),1))</f>
        <v/>
      </c>
    </row>
    <row r="32">
      <c r="A32" s="18" t="n"/>
      <c r="B32" s="12" t="n"/>
      <c r="C32" s="12" t="n"/>
      <c r="D32" s="12" t="n"/>
      <c r="E32" s="12" t="n"/>
      <c r="F32" s="12" t="n"/>
      <c r="G32" s="27">
        <f>IF($A32="","",SUM($B32:$F32))</f>
        <v/>
      </c>
      <c r="H32" s="35">
        <f>IF($A32="","",DATE(YEAR($A32),MONTH($A32),1))</f>
        <v/>
      </c>
    </row>
    <row r="33">
      <c r="A33" s="18" t="n"/>
      <c r="B33" s="12" t="n"/>
      <c r="C33" s="12" t="n"/>
      <c r="D33" s="12" t="n"/>
      <c r="E33" s="12" t="n"/>
      <c r="F33" s="12" t="n"/>
      <c r="G33" s="27">
        <f>IF($A33="","",SUM($B33:$F33))</f>
        <v/>
      </c>
      <c r="H33" s="35">
        <f>IF($A33="","",DATE(YEAR($A33),MONTH($A33),1))</f>
        <v/>
      </c>
    </row>
    <row r="34">
      <c r="A34" s="18" t="n"/>
      <c r="B34" s="12" t="n"/>
      <c r="C34" s="12" t="n"/>
      <c r="D34" s="12" t="n"/>
      <c r="E34" s="12" t="n"/>
      <c r="F34" s="12" t="n"/>
      <c r="G34" s="27">
        <f>IF($A34="","",SUM($B34:$F34))</f>
        <v/>
      </c>
      <c r="H34" s="35">
        <f>IF($A34="","",DATE(YEAR($A34),MONTH($A34),1))</f>
        <v/>
      </c>
    </row>
    <row r="35">
      <c r="A35" s="18" t="n"/>
      <c r="B35" s="12" t="n"/>
      <c r="C35" s="12" t="n"/>
      <c r="D35" s="12" t="n"/>
      <c r="E35" s="12" t="n"/>
      <c r="F35" s="12" t="n"/>
      <c r="G35" s="27">
        <f>IF($A35="","",SUM($B35:$F35))</f>
        <v/>
      </c>
      <c r="H35" s="35">
        <f>IF($A35="","",DATE(YEAR($A35),MONTH($A35),1))</f>
        <v/>
      </c>
    </row>
    <row r="36">
      <c r="A36" s="18" t="n"/>
      <c r="B36" s="12" t="n"/>
      <c r="C36" s="12" t="n"/>
      <c r="D36" s="12" t="n"/>
      <c r="E36" s="12" t="n"/>
      <c r="F36" s="12" t="n"/>
      <c r="G36" s="27">
        <f>IF($A36="","",SUM($B36:$F36))</f>
        <v/>
      </c>
      <c r="H36" s="35">
        <f>IF($A36="","",DATE(YEAR($A36),MONTH($A36),1))</f>
        <v/>
      </c>
    </row>
    <row r="37">
      <c r="A37" s="18" t="n"/>
      <c r="B37" s="12" t="n"/>
      <c r="C37" s="12" t="n"/>
      <c r="D37" s="12" t="n"/>
      <c r="E37" s="12" t="n"/>
      <c r="F37" s="12" t="n"/>
      <c r="G37" s="27">
        <f>IF($A37="","",SUM($B37:$F37))</f>
        <v/>
      </c>
      <c r="H37" s="35">
        <f>IF($A37="","",DATE(YEAR($A37),MONTH($A37),1))</f>
        <v/>
      </c>
    </row>
    <row r="38">
      <c r="A38" s="18" t="n"/>
      <c r="B38" s="12" t="n"/>
      <c r="C38" s="12" t="n"/>
      <c r="D38" s="12" t="n"/>
      <c r="E38" s="12" t="n"/>
      <c r="F38" s="12" t="n"/>
      <c r="G38" s="27">
        <f>IF($A38="","",SUM($B38:$F38))</f>
        <v/>
      </c>
      <c r="H38" s="35">
        <f>IF($A38="","",DATE(YEAR($A38),MONTH($A38),1))</f>
        <v/>
      </c>
    </row>
    <row r="39">
      <c r="A39" s="18" t="n"/>
      <c r="B39" s="12" t="n"/>
      <c r="C39" s="12" t="n"/>
      <c r="D39" s="12" t="n"/>
      <c r="E39" s="12" t="n"/>
      <c r="F39" s="12" t="n"/>
      <c r="G39" s="27">
        <f>IF($A39="","",SUM($B39:$F39))</f>
        <v/>
      </c>
      <c r="H39" s="35">
        <f>IF($A39="","",DATE(YEAR($A39),MONTH($A39),1))</f>
        <v/>
      </c>
    </row>
    <row r="40">
      <c r="A40" s="18" t="n"/>
      <c r="B40" s="12" t="n"/>
      <c r="C40" s="12" t="n"/>
      <c r="D40" s="12" t="n"/>
      <c r="E40" s="12" t="n"/>
      <c r="F40" s="12" t="n"/>
      <c r="G40" s="27">
        <f>IF($A40="","",SUM($B40:$F40))</f>
        <v/>
      </c>
      <c r="H40" s="35">
        <f>IF($A40="","",DATE(YEAR($A40),MONTH($A40),1))</f>
        <v/>
      </c>
    </row>
    <row r="41">
      <c r="A41" s="18" t="n"/>
      <c r="B41" s="12" t="n"/>
      <c r="C41" s="12" t="n"/>
      <c r="D41" s="12" t="n"/>
      <c r="E41" s="12" t="n"/>
      <c r="F41" s="12" t="n"/>
      <c r="G41" s="27">
        <f>IF($A41="","",SUM($B41:$F41))</f>
        <v/>
      </c>
      <c r="H41" s="35">
        <f>IF($A41="","",DATE(YEAR($A41),MONTH($A41),1))</f>
        <v/>
      </c>
    </row>
    <row r="42">
      <c r="A42" s="18" t="n"/>
      <c r="B42" s="12" t="n"/>
      <c r="C42" s="12" t="n"/>
      <c r="D42" s="12" t="n"/>
      <c r="E42" s="12" t="n"/>
      <c r="F42" s="12" t="n"/>
      <c r="G42" s="27">
        <f>IF($A42="","",SUM($B42:$F42))</f>
        <v/>
      </c>
      <c r="H42" s="35">
        <f>IF($A42="","",DATE(YEAR($A42),MONTH($A42),1))</f>
        <v/>
      </c>
    </row>
    <row r="43">
      <c r="A43" s="18" t="n"/>
      <c r="B43" s="12" t="n"/>
      <c r="C43" s="12" t="n"/>
      <c r="D43" s="12" t="n"/>
      <c r="E43" s="12" t="n"/>
      <c r="F43" s="12" t="n"/>
      <c r="G43" s="27">
        <f>IF($A43="","",SUM($B43:$F43))</f>
        <v/>
      </c>
      <c r="H43" s="35">
        <f>IF($A43="","",DATE(YEAR($A43),MONTH($A43),1))</f>
        <v/>
      </c>
    </row>
    <row r="44">
      <c r="A44" s="18" t="n"/>
      <c r="B44" s="12" t="n"/>
      <c r="C44" s="12" t="n"/>
      <c r="D44" s="12" t="n"/>
      <c r="E44" s="12" t="n"/>
      <c r="F44" s="12" t="n"/>
      <c r="G44" s="27">
        <f>IF($A44="","",SUM($B44:$F44))</f>
        <v/>
      </c>
      <c r="H44" s="35">
        <f>IF($A44="","",DATE(YEAR($A44),MONTH($A44),1))</f>
        <v/>
      </c>
    </row>
    <row r="45">
      <c r="A45" s="18" t="n"/>
      <c r="B45" s="12" t="n"/>
      <c r="C45" s="12" t="n"/>
      <c r="D45" s="12" t="n"/>
      <c r="E45" s="12" t="n"/>
      <c r="F45" s="12" t="n"/>
      <c r="G45" s="27">
        <f>IF($A45="","",SUM($B45:$F45))</f>
        <v/>
      </c>
      <c r="H45" s="35">
        <f>IF($A45="","",DATE(YEAR($A45),MONTH($A45),1))</f>
        <v/>
      </c>
    </row>
    <row r="46">
      <c r="A46" s="18" t="n"/>
      <c r="B46" s="12" t="n"/>
      <c r="C46" s="12" t="n"/>
      <c r="D46" s="12" t="n"/>
      <c r="E46" s="12" t="n"/>
      <c r="F46" s="12" t="n"/>
      <c r="G46" s="27">
        <f>IF($A46="","",SUM($B46:$F46))</f>
        <v/>
      </c>
      <c r="H46" s="35">
        <f>IF($A46="","",DATE(YEAR($A46),MONTH($A46),1))</f>
        <v/>
      </c>
    </row>
    <row r="47">
      <c r="A47" s="18" t="n"/>
      <c r="B47" s="12" t="n"/>
      <c r="C47" s="12" t="n"/>
      <c r="D47" s="12" t="n"/>
      <c r="E47" s="12" t="n"/>
      <c r="F47" s="12" t="n"/>
      <c r="G47" s="27">
        <f>IF($A47="","",SUM($B47:$F47))</f>
        <v/>
      </c>
      <c r="H47" s="35">
        <f>IF($A47="","",DATE(YEAR($A47),MONTH($A47),1))</f>
        <v/>
      </c>
    </row>
    <row r="48">
      <c r="A48" s="18" t="n"/>
      <c r="B48" s="12" t="n"/>
      <c r="C48" s="12" t="n"/>
      <c r="D48" s="12" t="n"/>
      <c r="E48" s="12" t="n"/>
      <c r="F48" s="12" t="n"/>
      <c r="G48" s="27">
        <f>IF($A48="","",SUM($B48:$F48))</f>
        <v/>
      </c>
      <c r="H48" s="35">
        <f>IF($A48="","",DATE(YEAR($A48),MONTH($A48),1))</f>
        <v/>
      </c>
    </row>
    <row r="49">
      <c r="A49" s="18" t="n"/>
      <c r="B49" s="12" t="n"/>
      <c r="C49" s="12" t="n"/>
      <c r="D49" s="12" t="n"/>
      <c r="E49" s="12" t="n"/>
      <c r="F49" s="12" t="n"/>
      <c r="G49" s="27">
        <f>IF($A49="","",SUM($B49:$F49))</f>
        <v/>
      </c>
      <c r="H49" s="35">
        <f>IF($A49="","",DATE(YEAR($A49),MONTH($A49),1))</f>
        <v/>
      </c>
    </row>
    <row r="50">
      <c r="A50" s="18" t="n"/>
      <c r="B50" s="12" t="n"/>
      <c r="C50" s="12" t="n"/>
      <c r="D50" s="12" t="n"/>
      <c r="E50" s="12" t="n"/>
      <c r="F50" s="12" t="n"/>
      <c r="G50" s="27">
        <f>IF($A50="","",SUM($B50:$F50))</f>
        <v/>
      </c>
      <c r="H50" s="35">
        <f>IF($A50="","",DATE(YEAR($A50),MONTH($A50),1))</f>
        <v/>
      </c>
    </row>
    <row r="51">
      <c r="A51" s="18" t="n"/>
      <c r="B51" s="12" t="n"/>
      <c r="C51" s="12" t="n"/>
      <c r="D51" s="12" t="n"/>
      <c r="E51" s="12" t="n"/>
      <c r="F51" s="12" t="n"/>
      <c r="G51" s="27">
        <f>IF($A51="","",SUM($B51:$F51))</f>
        <v/>
      </c>
      <c r="H51" s="35">
        <f>IF($A51="","",DATE(YEAR($A51),MONTH($A51),1))</f>
        <v/>
      </c>
    </row>
    <row r="52">
      <c r="A52" s="18" t="n"/>
      <c r="B52" s="12" t="n"/>
      <c r="C52" s="12" t="n"/>
      <c r="D52" s="12" t="n"/>
      <c r="E52" s="12" t="n"/>
      <c r="F52" s="12" t="n"/>
      <c r="G52" s="27">
        <f>IF($A52="","",SUM($B52:$F52))</f>
        <v/>
      </c>
      <c r="H52" s="35">
        <f>IF($A52="","",DATE(YEAR($A52),MONTH($A52),1))</f>
        <v/>
      </c>
    </row>
    <row r="53">
      <c r="A53" s="18" t="n"/>
      <c r="B53" s="12" t="n"/>
      <c r="C53" s="12" t="n"/>
      <c r="D53" s="12" t="n"/>
      <c r="E53" s="12" t="n"/>
      <c r="F53" s="12" t="n"/>
      <c r="G53" s="27">
        <f>IF($A53="","",SUM($B53:$F53))</f>
        <v/>
      </c>
      <c r="H53" s="35">
        <f>IF($A53="","",DATE(YEAR($A53),MONTH($A53),1))</f>
        <v/>
      </c>
    </row>
    <row r="54">
      <c r="A54" s="18" t="n"/>
      <c r="B54" s="12" t="n"/>
      <c r="C54" s="12" t="n"/>
      <c r="D54" s="12" t="n"/>
      <c r="E54" s="12" t="n"/>
      <c r="F54" s="12" t="n"/>
      <c r="G54" s="27">
        <f>IF($A54="","",SUM($B54:$F54))</f>
        <v/>
      </c>
      <c r="H54" s="35">
        <f>IF($A54="","",DATE(YEAR($A54),MONTH($A54),1))</f>
        <v/>
      </c>
    </row>
    <row r="55">
      <c r="A55" s="18" t="n"/>
      <c r="B55" s="12" t="n"/>
      <c r="C55" s="12" t="n"/>
      <c r="D55" s="12" t="n"/>
      <c r="E55" s="12" t="n"/>
      <c r="F55" s="12" t="n"/>
      <c r="G55" s="27">
        <f>IF($A55="","",SUM($B55:$F55))</f>
        <v/>
      </c>
      <c r="H55" s="35">
        <f>IF($A55="","",DATE(YEAR($A55),MONTH($A55),1))</f>
        <v/>
      </c>
    </row>
    <row r="56">
      <c r="A56" s="18" t="n"/>
      <c r="B56" s="12" t="n"/>
      <c r="C56" s="12" t="n"/>
      <c r="D56" s="12" t="n"/>
      <c r="E56" s="12" t="n"/>
      <c r="F56" s="12" t="n"/>
      <c r="G56" s="27">
        <f>IF($A56="","",SUM($B56:$F56))</f>
        <v/>
      </c>
      <c r="H56" s="35">
        <f>IF($A56="","",DATE(YEAR($A56),MONTH($A56),1))</f>
        <v/>
      </c>
    </row>
    <row r="57">
      <c r="A57" s="18" t="n"/>
      <c r="B57" s="12" t="n"/>
      <c r="C57" s="12" t="n"/>
      <c r="D57" s="12" t="n"/>
      <c r="E57" s="12" t="n"/>
      <c r="F57" s="12" t="n"/>
      <c r="G57" s="27">
        <f>IF($A57="","",SUM($B57:$F57))</f>
        <v/>
      </c>
      <c r="H57" s="35">
        <f>IF($A57="","",DATE(YEAR($A57),MONTH($A57),1))</f>
        <v/>
      </c>
    </row>
    <row r="58">
      <c r="A58" s="18" t="n"/>
      <c r="B58" s="12" t="n"/>
      <c r="C58" s="12" t="n"/>
      <c r="D58" s="12" t="n"/>
      <c r="E58" s="12" t="n"/>
      <c r="F58" s="12" t="n"/>
      <c r="G58" s="27">
        <f>IF($A58="","",SUM($B58:$F58))</f>
        <v/>
      </c>
      <c r="H58" s="35">
        <f>IF($A58="","",DATE(YEAR($A58),MONTH($A58),1))</f>
        <v/>
      </c>
    </row>
    <row r="59">
      <c r="A59" s="18" t="n"/>
      <c r="B59" s="12" t="n"/>
      <c r="C59" s="12" t="n"/>
      <c r="D59" s="12" t="n"/>
      <c r="E59" s="12" t="n"/>
      <c r="F59" s="12" t="n"/>
      <c r="G59" s="27">
        <f>IF($A59="","",SUM($B59:$F59))</f>
        <v/>
      </c>
      <c r="H59" s="35">
        <f>IF($A59="","",DATE(YEAR($A59),MONTH($A59),1))</f>
        <v/>
      </c>
    </row>
    <row r="60">
      <c r="A60" s="18" t="n"/>
      <c r="B60" s="12" t="n"/>
      <c r="C60" s="12" t="n"/>
      <c r="D60" s="12" t="n"/>
      <c r="E60" s="12" t="n"/>
      <c r="F60" s="12" t="n"/>
      <c r="G60" s="27">
        <f>IF($A60="","",SUM($B60:$F60))</f>
        <v/>
      </c>
      <c r="H60" s="35">
        <f>IF($A60="","",DATE(YEAR($A60),MONTH($A60),1))</f>
        <v/>
      </c>
    </row>
    <row r="61">
      <c r="A61" s="18" t="n"/>
      <c r="B61" s="12" t="n"/>
      <c r="C61" s="12" t="n"/>
      <c r="D61" s="12" t="n"/>
      <c r="E61" s="12" t="n"/>
      <c r="F61" s="12" t="n"/>
      <c r="G61" s="27">
        <f>IF($A61="","",SUM($B61:$F61))</f>
        <v/>
      </c>
      <c r="H61" s="35">
        <f>IF($A61="","",DATE(YEAR($A61),MONTH($A61),1))</f>
        <v/>
      </c>
    </row>
    <row r="62">
      <c r="A62" s="18" t="n"/>
      <c r="B62" s="12" t="n"/>
      <c r="C62" s="12" t="n"/>
      <c r="D62" s="12" t="n"/>
      <c r="E62" s="12" t="n"/>
      <c r="F62" s="12" t="n"/>
      <c r="G62" s="27">
        <f>IF($A62="","",SUM($B62:$F62))</f>
        <v/>
      </c>
      <c r="H62" s="35">
        <f>IF($A62="","",DATE(YEAR($A62),MONTH($A62),1))</f>
        <v/>
      </c>
    </row>
    <row r="63">
      <c r="A63" s="18" t="n"/>
      <c r="B63" s="12" t="n"/>
      <c r="C63" s="12" t="n"/>
      <c r="D63" s="12" t="n"/>
      <c r="E63" s="12" t="n"/>
      <c r="F63" s="12" t="n"/>
      <c r="G63" s="27">
        <f>IF($A63="","",SUM($B63:$F63))</f>
        <v/>
      </c>
      <c r="H63" s="35">
        <f>IF($A63="","",DATE(YEAR($A63),MONTH($A63),1))</f>
        <v/>
      </c>
    </row>
    <row r="64">
      <c r="A64" s="18" t="n"/>
      <c r="B64" s="12" t="n"/>
      <c r="C64" s="12" t="n"/>
      <c r="D64" s="12" t="n"/>
      <c r="E64" s="12" t="n"/>
      <c r="F64" s="12" t="n"/>
      <c r="G64" s="27">
        <f>IF($A64="","",SUM($B64:$F64))</f>
        <v/>
      </c>
      <c r="H64" s="35">
        <f>IF($A64="","",DATE(YEAR($A64),MONTH($A64),1))</f>
        <v/>
      </c>
    </row>
    <row r="65">
      <c r="A65" s="18" t="n"/>
      <c r="B65" s="12" t="n"/>
      <c r="C65" s="12" t="n"/>
      <c r="D65" s="12" t="n"/>
      <c r="E65" s="12" t="n"/>
      <c r="F65" s="12" t="n"/>
      <c r="G65" s="27">
        <f>IF($A65="","",SUM($B65:$F65))</f>
        <v/>
      </c>
      <c r="H65" s="35">
        <f>IF($A65="","",DATE(YEAR($A65),MONTH($A65),1))</f>
        <v/>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7.xml><?xml version="1.0" encoding="utf-8"?>
<worksheet xmlns="http://schemas.openxmlformats.org/spreadsheetml/2006/main">
  <sheetPr>
    <tabColor rgb="001F3A5F"/>
    <outlinePr summaryBelow="1" summaryRight="1"/>
    <pageSetUpPr/>
  </sheetPr>
  <dimension ref="A1:K38"/>
  <sheetViews>
    <sheetView workbookViewId="0">
      <selection activeCell="A1" sqref="A1"/>
    </sheetView>
  </sheetViews>
  <sheetFormatPr baseColWidth="8" defaultRowHeight="15"/>
  <cols>
    <col width="11" customWidth="1" min="1" max="1"/>
    <col width="10" customWidth="1" min="2" max="2"/>
    <col width="8" customWidth="1" min="3" max="3"/>
    <col width="13" customWidth="1" min="4" max="4"/>
    <col width="11" customWidth="1" min="5" max="5"/>
    <col width="11" customWidth="1" min="6" max="6"/>
    <col width="12" customWidth="1" min="7" max="7"/>
    <col width="12" customWidth="1" min="8" max="8"/>
    <col width="13" customWidth="1" min="9" max="9"/>
    <col width="13" customWidth="1" min="10" max="10"/>
    <col width="9" customWidth="1" min="11" max="11"/>
  </cols>
  <sheetData>
    <row r="1">
      <c r="A1" s="8" t="inlineStr">
        <is>
          <t>Dashboard</t>
        </is>
      </c>
    </row>
    <row r="2">
      <c r="A2" s="9" t="inlineStr">
        <is>
          <t>Everything here is calculated from the Orders Log and Expenses tabs.</t>
        </is>
      </c>
    </row>
    <row r="4">
      <c r="A4" s="11" t="inlineStr">
        <is>
          <t>First month to show</t>
        </is>
      </c>
      <c r="C4" s="36" t="n">
        <v>46235</v>
      </c>
      <c r="D4" s="9" t="inlineStr">
        <is>
          <t>Shows 12 months from this one.</t>
        </is>
      </c>
    </row>
    <row r="6" ht="32" customHeight="1">
      <c r="A6" s="16" t="inlineStr">
        <is>
          <t>Month</t>
        </is>
      </c>
      <c r="B6" s="16" t="inlineStr">
        <is>
          <t>Label</t>
        </is>
      </c>
      <c r="C6" s="16" t="inlineStr">
        <is>
          <t>Orders</t>
        </is>
      </c>
      <c r="D6" s="16" t="inlineStr">
        <is>
          <t>Revenue (order totals)</t>
        </is>
      </c>
      <c r="E6" s="16" t="inlineStr">
        <is>
          <t>Refunds</t>
        </is>
      </c>
      <c r="F6" s="16" t="inlineStr">
        <is>
          <t>Fees</t>
        </is>
      </c>
      <c r="G6" s="16" t="inlineStr">
        <is>
          <t>Product cost</t>
        </is>
      </c>
      <c r="H6" s="16" t="inlineStr">
        <is>
          <t>Shipping cost</t>
        </is>
      </c>
      <c r="I6" s="16" t="inlineStr">
        <is>
          <t>Overhead (Expenses)</t>
        </is>
      </c>
      <c r="J6" s="16" t="inlineStr">
        <is>
          <t>Net profit</t>
        </is>
      </c>
      <c r="K6" s="16" t="inlineStr">
        <is>
          <t>Margin</t>
        </is>
      </c>
    </row>
    <row r="7">
      <c r="A7" s="35">
        <f>DATE(YEAR($C$4),MONTH($C$4),1)</f>
        <v/>
      </c>
      <c r="B7" s="7">
        <f>TEXT(A7,"mmm yy")</f>
        <v/>
      </c>
      <c r="C7" s="28">
        <f>COUNTIFS('Orders Log'!$X$6:$X$505,$A7)</f>
        <v/>
      </c>
      <c r="D7" s="15">
        <f>SUMIFS('Orders Log'!$M$6:$M$505,'Orders Log'!$X$6:$X$505,$A7)</f>
        <v/>
      </c>
      <c r="E7" s="15">
        <f>SUMIFS('Orders Log'!$T$6:$T$505,'Orders Log'!$X$6:$X$505,$A7)</f>
        <v/>
      </c>
      <c r="F7" s="15">
        <f>SUMIFS('Orders Log'!$S$6:$S$505,'Orders Log'!$X$6:$X$505,$A7)</f>
        <v/>
      </c>
      <c r="G7" s="15">
        <f>SUMIFS('Orders Log'!$U$6:$U$505,'Orders Log'!$X$6:$X$505,$A7)</f>
        <v/>
      </c>
      <c r="H7" s="15">
        <f>SUMIFS('Orders Log'!$G$6:$G$505,'Orders Log'!$X$6:$X$505,$A7)</f>
        <v/>
      </c>
      <c r="I7" s="15">
        <f>SUMIFS(Expenses!$G$6:$G$65,Expenses!$H$6:$H$65,$A7)</f>
        <v/>
      </c>
      <c r="J7" s="27">
        <f>D7-E7-F7-G7-H7-I7</f>
        <v/>
      </c>
      <c r="K7" s="31">
        <f>IF(D7-E7&gt;0,J7/(D7-E7),"")</f>
        <v/>
      </c>
    </row>
    <row r="8">
      <c r="A8" s="35">
        <f>DATE(YEAR(A7),MONTH(A7)+1,1)</f>
        <v/>
      </c>
      <c r="B8" s="7">
        <f>TEXT(A8,"mmm yy")</f>
        <v/>
      </c>
      <c r="C8" s="28">
        <f>COUNTIFS('Orders Log'!$X$6:$X$505,$A8)</f>
        <v/>
      </c>
      <c r="D8" s="15">
        <f>SUMIFS('Orders Log'!$M$6:$M$505,'Orders Log'!$X$6:$X$505,$A8)</f>
        <v/>
      </c>
      <c r="E8" s="15">
        <f>SUMIFS('Orders Log'!$T$6:$T$505,'Orders Log'!$X$6:$X$505,$A8)</f>
        <v/>
      </c>
      <c r="F8" s="15">
        <f>SUMIFS('Orders Log'!$S$6:$S$505,'Orders Log'!$X$6:$X$505,$A8)</f>
        <v/>
      </c>
      <c r="G8" s="15">
        <f>SUMIFS('Orders Log'!$U$6:$U$505,'Orders Log'!$X$6:$X$505,$A8)</f>
        <v/>
      </c>
      <c r="H8" s="15">
        <f>SUMIFS('Orders Log'!$G$6:$G$505,'Orders Log'!$X$6:$X$505,$A8)</f>
        <v/>
      </c>
      <c r="I8" s="15">
        <f>SUMIFS(Expenses!$G$6:$G$65,Expenses!$H$6:$H$65,$A8)</f>
        <v/>
      </c>
      <c r="J8" s="27">
        <f>D8-E8-F8-G8-H8-I8</f>
        <v/>
      </c>
      <c r="K8" s="31">
        <f>IF(D8-E8&gt;0,J8/(D8-E8),"")</f>
        <v/>
      </c>
    </row>
    <row r="9">
      <c r="A9" s="35">
        <f>DATE(YEAR(A8),MONTH(A8)+1,1)</f>
        <v/>
      </c>
      <c r="B9" s="7">
        <f>TEXT(A9,"mmm yy")</f>
        <v/>
      </c>
      <c r="C9" s="28">
        <f>COUNTIFS('Orders Log'!$X$6:$X$505,$A9)</f>
        <v/>
      </c>
      <c r="D9" s="15">
        <f>SUMIFS('Orders Log'!$M$6:$M$505,'Orders Log'!$X$6:$X$505,$A9)</f>
        <v/>
      </c>
      <c r="E9" s="15">
        <f>SUMIFS('Orders Log'!$T$6:$T$505,'Orders Log'!$X$6:$X$505,$A9)</f>
        <v/>
      </c>
      <c r="F9" s="15">
        <f>SUMIFS('Orders Log'!$S$6:$S$505,'Orders Log'!$X$6:$X$505,$A9)</f>
        <v/>
      </c>
      <c r="G9" s="15">
        <f>SUMIFS('Orders Log'!$U$6:$U$505,'Orders Log'!$X$6:$X$505,$A9)</f>
        <v/>
      </c>
      <c r="H9" s="15">
        <f>SUMIFS('Orders Log'!$G$6:$G$505,'Orders Log'!$X$6:$X$505,$A9)</f>
        <v/>
      </c>
      <c r="I9" s="15">
        <f>SUMIFS(Expenses!$G$6:$G$65,Expenses!$H$6:$H$65,$A9)</f>
        <v/>
      </c>
      <c r="J9" s="27">
        <f>D9-E9-F9-G9-H9-I9</f>
        <v/>
      </c>
      <c r="K9" s="31">
        <f>IF(D9-E9&gt;0,J9/(D9-E9),"")</f>
        <v/>
      </c>
    </row>
    <row r="10">
      <c r="A10" s="35">
        <f>DATE(YEAR(A9),MONTH(A9)+1,1)</f>
        <v/>
      </c>
      <c r="B10" s="7">
        <f>TEXT(A10,"mmm yy")</f>
        <v/>
      </c>
      <c r="C10" s="28">
        <f>COUNTIFS('Orders Log'!$X$6:$X$505,$A10)</f>
        <v/>
      </c>
      <c r="D10" s="15">
        <f>SUMIFS('Orders Log'!$M$6:$M$505,'Orders Log'!$X$6:$X$505,$A10)</f>
        <v/>
      </c>
      <c r="E10" s="15">
        <f>SUMIFS('Orders Log'!$T$6:$T$505,'Orders Log'!$X$6:$X$505,$A10)</f>
        <v/>
      </c>
      <c r="F10" s="15">
        <f>SUMIFS('Orders Log'!$S$6:$S$505,'Orders Log'!$X$6:$X$505,$A10)</f>
        <v/>
      </c>
      <c r="G10" s="15">
        <f>SUMIFS('Orders Log'!$U$6:$U$505,'Orders Log'!$X$6:$X$505,$A10)</f>
        <v/>
      </c>
      <c r="H10" s="15">
        <f>SUMIFS('Orders Log'!$G$6:$G$505,'Orders Log'!$X$6:$X$505,$A10)</f>
        <v/>
      </c>
      <c r="I10" s="15">
        <f>SUMIFS(Expenses!$G$6:$G$65,Expenses!$H$6:$H$65,$A10)</f>
        <v/>
      </c>
      <c r="J10" s="27">
        <f>D10-E10-F10-G10-H10-I10</f>
        <v/>
      </c>
      <c r="K10" s="31">
        <f>IF(D10-E10&gt;0,J10/(D10-E10),"")</f>
        <v/>
      </c>
    </row>
    <row r="11">
      <c r="A11" s="35">
        <f>DATE(YEAR(A10),MONTH(A10)+1,1)</f>
        <v/>
      </c>
      <c r="B11" s="7">
        <f>TEXT(A11,"mmm yy")</f>
        <v/>
      </c>
      <c r="C11" s="28">
        <f>COUNTIFS('Orders Log'!$X$6:$X$505,$A11)</f>
        <v/>
      </c>
      <c r="D11" s="15">
        <f>SUMIFS('Orders Log'!$M$6:$M$505,'Orders Log'!$X$6:$X$505,$A11)</f>
        <v/>
      </c>
      <c r="E11" s="15">
        <f>SUMIFS('Orders Log'!$T$6:$T$505,'Orders Log'!$X$6:$X$505,$A11)</f>
        <v/>
      </c>
      <c r="F11" s="15">
        <f>SUMIFS('Orders Log'!$S$6:$S$505,'Orders Log'!$X$6:$X$505,$A11)</f>
        <v/>
      </c>
      <c r="G11" s="15">
        <f>SUMIFS('Orders Log'!$U$6:$U$505,'Orders Log'!$X$6:$X$505,$A11)</f>
        <v/>
      </c>
      <c r="H11" s="15">
        <f>SUMIFS('Orders Log'!$G$6:$G$505,'Orders Log'!$X$6:$X$505,$A11)</f>
        <v/>
      </c>
      <c r="I11" s="15">
        <f>SUMIFS(Expenses!$G$6:$G$65,Expenses!$H$6:$H$65,$A11)</f>
        <v/>
      </c>
      <c r="J11" s="27">
        <f>D11-E11-F11-G11-H11-I11</f>
        <v/>
      </c>
      <c r="K11" s="31">
        <f>IF(D11-E11&gt;0,J11/(D11-E11),"")</f>
        <v/>
      </c>
    </row>
    <row r="12">
      <c r="A12" s="35">
        <f>DATE(YEAR(A11),MONTH(A11)+1,1)</f>
        <v/>
      </c>
      <c r="B12" s="7">
        <f>TEXT(A12,"mmm yy")</f>
        <v/>
      </c>
      <c r="C12" s="28">
        <f>COUNTIFS('Orders Log'!$X$6:$X$505,$A12)</f>
        <v/>
      </c>
      <c r="D12" s="15">
        <f>SUMIFS('Orders Log'!$M$6:$M$505,'Orders Log'!$X$6:$X$505,$A12)</f>
        <v/>
      </c>
      <c r="E12" s="15">
        <f>SUMIFS('Orders Log'!$T$6:$T$505,'Orders Log'!$X$6:$X$505,$A12)</f>
        <v/>
      </c>
      <c r="F12" s="15">
        <f>SUMIFS('Orders Log'!$S$6:$S$505,'Orders Log'!$X$6:$X$505,$A12)</f>
        <v/>
      </c>
      <c r="G12" s="15">
        <f>SUMIFS('Orders Log'!$U$6:$U$505,'Orders Log'!$X$6:$X$505,$A12)</f>
        <v/>
      </c>
      <c r="H12" s="15">
        <f>SUMIFS('Orders Log'!$G$6:$G$505,'Orders Log'!$X$6:$X$505,$A12)</f>
        <v/>
      </c>
      <c r="I12" s="15">
        <f>SUMIFS(Expenses!$G$6:$G$65,Expenses!$H$6:$H$65,$A12)</f>
        <v/>
      </c>
      <c r="J12" s="27">
        <f>D12-E12-F12-G12-H12-I12</f>
        <v/>
      </c>
      <c r="K12" s="31">
        <f>IF(D12-E12&gt;0,J12/(D12-E12),"")</f>
        <v/>
      </c>
    </row>
    <row r="13">
      <c r="A13" s="35">
        <f>DATE(YEAR(A12),MONTH(A12)+1,1)</f>
        <v/>
      </c>
      <c r="B13" s="7">
        <f>TEXT(A13,"mmm yy")</f>
        <v/>
      </c>
      <c r="C13" s="28">
        <f>COUNTIFS('Orders Log'!$X$6:$X$505,$A13)</f>
        <v/>
      </c>
      <c r="D13" s="15">
        <f>SUMIFS('Orders Log'!$M$6:$M$505,'Orders Log'!$X$6:$X$505,$A13)</f>
        <v/>
      </c>
      <c r="E13" s="15">
        <f>SUMIFS('Orders Log'!$T$6:$T$505,'Orders Log'!$X$6:$X$505,$A13)</f>
        <v/>
      </c>
      <c r="F13" s="15">
        <f>SUMIFS('Orders Log'!$S$6:$S$505,'Orders Log'!$X$6:$X$505,$A13)</f>
        <v/>
      </c>
      <c r="G13" s="15">
        <f>SUMIFS('Orders Log'!$U$6:$U$505,'Orders Log'!$X$6:$X$505,$A13)</f>
        <v/>
      </c>
      <c r="H13" s="15">
        <f>SUMIFS('Orders Log'!$G$6:$G$505,'Orders Log'!$X$6:$X$505,$A13)</f>
        <v/>
      </c>
      <c r="I13" s="15">
        <f>SUMIFS(Expenses!$G$6:$G$65,Expenses!$H$6:$H$65,$A13)</f>
        <v/>
      </c>
      <c r="J13" s="27">
        <f>D13-E13-F13-G13-H13-I13</f>
        <v/>
      </c>
      <c r="K13" s="31">
        <f>IF(D13-E13&gt;0,J13/(D13-E13),"")</f>
        <v/>
      </c>
    </row>
    <row r="14">
      <c r="A14" s="35">
        <f>DATE(YEAR(A13),MONTH(A13)+1,1)</f>
        <v/>
      </c>
      <c r="B14" s="7">
        <f>TEXT(A14,"mmm yy")</f>
        <v/>
      </c>
      <c r="C14" s="28">
        <f>COUNTIFS('Orders Log'!$X$6:$X$505,$A14)</f>
        <v/>
      </c>
      <c r="D14" s="15">
        <f>SUMIFS('Orders Log'!$M$6:$M$505,'Orders Log'!$X$6:$X$505,$A14)</f>
        <v/>
      </c>
      <c r="E14" s="15">
        <f>SUMIFS('Orders Log'!$T$6:$T$505,'Orders Log'!$X$6:$X$505,$A14)</f>
        <v/>
      </c>
      <c r="F14" s="15">
        <f>SUMIFS('Orders Log'!$S$6:$S$505,'Orders Log'!$X$6:$X$505,$A14)</f>
        <v/>
      </c>
      <c r="G14" s="15">
        <f>SUMIFS('Orders Log'!$U$6:$U$505,'Orders Log'!$X$6:$X$505,$A14)</f>
        <v/>
      </c>
      <c r="H14" s="15">
        <f>SUMIFS('Orders Log'!$G$6:$G$505,'Orders Log'!$X$6:$X$505,$A14)</f>
        <v/>
      </c>
      <c r="I14" s="15">
        <f>SUMIFS(Expenses!$G$6:$G$65,Expenses!$H$6:$H$65,$A14)</f>
        <v/>
      </c>
      <c r="J14" s="27">
        <f>D14-E14-F14-G14-H14-I14</f>
        <v/>
      </c>
      <c r="K14" s="31">
        <f>IF(D14-E14&gt;0,J14/(D14-E14),"")</f>
        <v/>
      </c>
    </row>
    <row r="15">
      <c r="A15" s="35">
        <f>DATE(YEAR(A14),MONTH(A14)+1,1)</f>
        <v/>
      </c>
      <c r="B15" s="7">
        <f>TEXT(A15,"mmm yy")</f>
        <v/>
      </c>
      <c r="C15" s="28">
        <f>COUNTIFS('Orders Log'!$X$6:$X$505,$A15)</f>
        <v/>
      </c>
      <c r="D15" s="15">
        <f>SUMIFS('Orders Log'!$M$6:$M$505,'Orders Log'!$X$6:$X$505,$A15)</f>
        <v/>
      </c>
      <c r="E15" s="15">
        <f>SUMIFS('Orders Log'!$T$6:$T$505,'Orders Log'!$X$6:$X$505,$A15)</f>
        <v/>
      </c>
      <c r="F15" s="15">
        <f>SUMIFS('Orders Log'!$S$6:$S$505,'Orders Log'!$X$6:$X$505,$A15)</f>
        <v/>
      </c>
      <c r="G15" s="15">
        <f>SUMIFS('Orders Log'!$U$6:$U$505,'Orders Log'!$X$6:$X$505,$A15)</f>
        <v/>
      </c>
      <c r="H15" s="15">
        <f>SUMIFS('Orders Log'!$G$6:$G$505,'Orders Log'!$X$6:$X$505,$A15)</f>
        <v/>
      </c>
      <c r="I15" s="15">
        <f>SUMIFS(Expenses!$G$6:$G$65,Expenses!$H$6:$H$65,$A15)</f>
        <v/>
      </c>
      <c r="J15" s="27">
        <f>D15-E15-F15-G15-H15-I15</f>
        <v/>
      </c>
      <c r="K15" s="31">
        <f>IF(D15-E15&gt;0,J15/(D15-E15),"")</f>
        <v/>
      </c>
    </row>
    <row r="16">
      <c r="A16" s="35">
        <f>DATE(YEAR(A15),MONTH(A15)+1,1)</f>
        <v/>
      </c>
      <c r="B16" s="7">
        <f>TEXT(A16,"mmm yy")</f>
        <v/>
      </c>
      <c r="C16" s="28">
        <f>COUNTIFS('Orders Log'!$X$6:$X$505,$A16)</f>
        <v/>
      </c>
      <c r="D16" s="15">
        <f>SUMIFS('Orders Log'!$M$6:$M$505,'Orders Log'!$X$6:$X$505,$A16)</f>
        <v/>
      </c>
      <c r="E16" s="15">
        <f>SUMIFS('Orders Log'!$T$6:$T$505,'Orders Log'!$X$6:$X$505,$A16)</f>
        <v/>
      </c>
      <c r="F16" s="15">
        <f>SUMIFS('Orders Log'!$S$6:$S$505,'Orders Log'!$X$6:$X$505,$A16)</f>
        <v/>
      </c>
      <c r="G16" s="15">
        <f>SUMIFS('Orders Log'!$U$6:$U$505,'Orders Log'!$X$6:$X$505,$A16)</f>
        <v/>
      </c>
      <c r="H16" s="15">
        <f>SUMIFS('Orders Log'!$G$6:$G$505,'Orders Log'!$X$6:$X$505,$A16)</f>
        <v/>
      </c>
      <c r="I16" s="15">
        <f>SUMIFS(Expenses!$G$6:$G$65,Expenses!$H$6:$H$65,$A16)</f>
        <v/>
      </c>
      <c r="J16" s="27">
        <f>D16-E16-F16-G16-H16-I16</f>
        <v/>
      </c>
      <c r="K16" s="31">
        <f>IF(D16-E16&gt;0,J16/(D16-E16),"")</f>
        <v/>
      </c>
    </row>
    <row r="17">
      <c r="A17" s="35">
        <f>DATE(YEAR(A16),MONTH(A16)+1,1)</f>
        <v/>
      </c>
      <c r="B17" s="7">
        <f>TEXT(A17,"mmm yy")</f>
        <v/>
      </c>
      <c r="C17" s="28">
        <f>COUNTIFS('Orders Log'!$X$6:$X$505,$A17)</f>
        <v/>
      </c>
      <c r="D17" s="15">
        <f>SUMIFS('Orders Log'!$M$6:$M$505,'Orders Log'!$X$6:$X$505,$A17)</f>
        <v/>
      </c>
      <c r="E17" s="15">
        <f>SUMIFS('Orders Log'!$T$6:$T$505,'Orders Log'!$X$6:$X$505,$A17)</f>
        <v/>
      </c>
      <c r="F17" s="15">
        <f>SUMIFS('Orders Log'!$S$6:$S$505,'Orders Log'!$X$6:$X$505,$A17)</f>
        <v/>
      </c>
      <c r="G17" s="15">
        <f>SUMIFS('Orders Log'!$U$6:$U$505,'Orders Log'!$X$6:$X$505,$A17)</f>
        <v/>
      </c>
      <c r="H17" s="15">
        <f>SUMIFS('Orders Log'!$G$6:$G$505,'Orders Log'!$X$6:$X$505,$A17)</f>
        <v/>
      </c>
      <c r="I17" s="15">
        <f>SUMIFS(Expenses!$G$6:$G$65,Expenses!$H$6:$H$65,$A17)</f>
        <v/>
      </c>
      <c r="J17" s="27">
        <f>D17-E17-F17-G17-H17-I17</f>
        <v/>
      </c>
      <c r="K17" s="31">
        <f>IF(D17-E17&gt;0,J17/(D17-E17),"")</f>
        <v/>
      </c>
    </row>
    <row r="18">
      <c r="A18" s="35">
        <f>DATE(YEAR(A17),MONTH(A17)+1,1)</f>
        <v/>
      </c>
      <c r="B18" s="7">
        <f>TEXT(A18,"mmm yy")</f>
        <v/>
      </c>
      <c r="C18" s="28">
        <f>COUNTIFS('Orders Log'!$X$6:$X$505,$A18)</f>
        <v/>
      </c>
      <c r="D18" s="15">
        <f>SUMIFS('Orders Log'!$M$6:$M$505,'Orders Log'!$X$6:$X$505,$A18)</f>
        <v/>
      </c>
      <c r="E18" s="15">
        <f>SUMIFS('Orders Log'!$T$6:$T$505,'Orders Log'!$X$6:$X$505,$A18)</f>
        <v/>
      </c>
      <c r="F18" s="15">
        <f>SUMIFS('Orders Log'!$S$6:$S$505,'Orders Log'!$X$6:$X$505,$A18)</f>
        <v/>
      </c>
      <c r="G18" s="15">
        <f>SUMIFS('Orders Log'!$U$6:$U$505,'Orders Log'!$X$6:$X$505,$A18)</f>
        <v/>
      </c>
      <c r="H18" s="15">
        <f>SUMIFS('Orders Log'!$G$6:$G$505,'Orders Log'!$X$6:$X$505,$A18)</f>
        <v/>
      </c>
      <c r="I18" s="15">
        <f>SUMIFS(Expenses!$G$6:$G$65,Expenses!$H$6:$H$65,$A18)</f>
        <v/>
      </c>
      <c r="J18" s="27">
        <f>D18-E18-F18-G18-H18-I18</f>
        <v/>
      </c>
      <c r="K18" s="31">
        <f>IF(D18-E18&gt;0,J18/(D18-E18),"")</f>
        <v/>
      </c>
    </row>
    <row r="19">
      <c r="A19" s="25" t="inlineStr">
        <is>
          <t>12-month total</t>
        </is>
      </c>
      <c r="C19" s="32">
        <f>SUM(C7:C18)</f>
        <v/>
      </c>
      <c r="D19" s="27">
        <f>SUM(D7:D18)</f>
        <v/>
      </c>
      <c r="E19" s="27">
        <f>SUM(E7:E18)</f>
        <v/>
      </c>
      <c r="F19" s="27">
        <f>SUM(F7:F18)</f>
        <v/>
      </c>
      <c r="G19" s="27">
        <f>SUM(G7:G18)</f>
        <v/>
      </c>
      <c r="H19" s="27">
        <f>SUM(H7:H18)</f>
        <v/>
      </c>
      <c r="I19" s="27">
        <f>SUM(I7:I18)</f>
        <v/>
      </c>
      <c r="J19" s="27">
        <f>SUM(J7:J18)</f>
        <v/>
      </c>
      <c r="K19" s="37">
        <f>IF(D19-E19&gt;0,J19/(D19-E19),"")</f>
        <v/>
      </c>
    </row>
    <row r="22">
      <c r="A22" s="10" t="inlineStr">
        <is>
          <t>TOP 3 PRODUCTS BY NET PROFIT (all orders in the log)</t>
        </is>
      </c>
      <c r="G22" s="10" t="inlineStr">
        <is>
          <t>BOTTOM 3 PRODUCTS BY NET PROFIT</t>
        </is>
      </c>
    </row>
    <row r="23">
      <c r="A23" s="16" t="inlineStr">
        <is>
          <t>#</t>
        </is>
      </c>
      <c r="B23" s="16" t="inlineStr">
        <is>
          <t>Product</t>
        </is>
      </c>
      <c r="C23" s="16" t="inlineStr"/>
      <c r="D23" s="16" t="inlineStr">
        <is>
          <t>Net profit</t>
        </is>
      </c>
      <c r="E23" s="16" t="inlineStr">
        <is>
          <t>Units</t>
        </is>
      </c>
      <c r="G23" s="16" t="inlineStr">
        <is>
          <t>#</t>
        </is>
      </c>
      <c r="H23" s="16" t="inlineStr">
        <is>
          <t>Product</t>
        </is>
      </c>
      <c r="I23" s="16" t="inlineStr"/>
      <c r="J23" s="16" t="inlineStr">
        <is>
          <t>Net profit</t>
        </is>
      </c>
      <c r="K23" s="16" t="inlineStr">
        <is>
          <t>Units</t>
        </is>
      </c>
    </row>
    <row r="24">
      <c r="A24" t="n">
        <v>1</v>
      </c>
      <c r="B24" s="7">
        <f>IFERROR(INDEX(Products!$A$5:$A$54,MATCH(LARGE(Products!$I$5:$I$54,1),Products!$I$5:$I$54,0)),"")</f>
        <v/>
      </c>
      <c r="C24" s="34" t="n"/>
      <c r="D24" s="15">
        <f>IFERROR(INDEX(Products!$H$5:$H$54,MATCH(LARGE(Products!$I$5:$I$54,1),Products!$I$5:$I$54,0)),"")</f>
        <v/>
      </c>
      <c r="E24" s="28">
        <f>IFERROR(INDEX(Products!$G$5:$G$54,MATCH(LARGE(Products!$I$5:$I$54,1),Products!$I$5:$I$54,0)),"")</f>
        <v/>
      </c>
      <c r="G24" t="n">
        <v>1</v>
      </c>
      <c r="H24" s="7">
        <f>IFERROR(INDEX(Products!$A$5:$A$54,MATCH(SMALL(Products!$I$5:$I$54,1),Products!$I$5:$I$54,0)),"")</f>
        <v/>
      </c>
      <c r="I24" s="34" t="n"/>
      <c r="J24" s="15">
        <f>IFERROR(INDEX(Products!$H$5:$H$54,MATCH(SMALL(Products!$I$5:$I$54,1),Products!$I$5:$I$54,0)),"")</f>
        <v/>
      </c>
      <c r="K24" s="28">
        <f>IFERROR(INDEX(Products!$G$5:$G$54,MATCH(SMALL(Products!$I$5:$I$54,1),Products!$I$5:$I$54,0)),"")</f>
        <v/>
      </c>
    </row>
    <row r="25">
      <c r="A25" t="n">
        <v>2</v>
      </c>
      <c r="B25" s="7">
        <f>IFERROR(INDEX(Products!$A$5:$A$54,MATCH(LARGE(Products!$I$5:$I$54,2),Products!$I$5:$I$54,0)),"")</f>
        <v/>
      </c>
      <c r="C25" s="34" t="n"/>
      <c r="D25" s="15">
        <f>IFERROR(INDEX(Products!$H$5:$H$54,MATCH(LARGE(Products!$I$5:$I$54,2),Products!$I$5:$I$54,0)),"")</f>
        <v/>
      </c>
      <c r="E25" s="28">
        <f>IFERROR(INDEX(Products!$G$5:$G$54,MATCH(LARGE(Products!$I$5:$I$54,2),Products!$I$5:$I$54,0)),"")</f>
        <v/>
      </c>
      <c r="G25" t="n">
        <v>2</v>
      </c>
      <c r="H25" s="7">
        <f>IFERROR(INDEX(Products!$A$5:$A$54,MATCH(SMALL(Products!$I$5:$I$54,2),Products!$I$5:$I$54,0)),"")</f>
        <v/>
      </c>
      <c r="I25" s="34" t="n"/>
      <c r="J25" s="15">
        <f>IFERROR(INDEX(Products!$H$5:$H$54,MATCH(SMALL(Products!$I$5:$I$54,2),Products!$I$5:$I$54,0)),"")</f>
        <v/>
      </c>
      <c r="K25" s="28">
        <f>IFERROR(INDEX(Products!$G$5:$G$54,MATCH(SMALL(Products!$I$5:$I$54,2),Products!$I$5:$I$54,0)),"")</f>
        <v/>
      </c>
    </row>
    <row r="26">
      <c r="A26" t="n">
        <v>3</v>
      </c>
      <c r="B26" s="7">
        <f>IFERROR(INDEX(Products!$A$5:$A$54,MATCH(LARGE(Products!$I$5:$I$54,3),Products!$I$5:$I$54,0)),"")</f>
        <v/>
      </c>
      <c r="C26" s="34" t="n"/>
      <c r="D26" s="15">
        <f>IFERROR(INDEX(Products!$H$5:$H$54,MATCH(LARGE(Products!$I$5:$I$54,3),Products!$I$5:$I$54,0)),"")</f>
        <v/>
      </c>
      <c r="E26" s="28">
        <f>IFERROR(INDEX(Products!$G$5:$G$54,MATCH(LARGE(Products!$I$5:$I$54,3),Products!$I$5:$I$54,0)),"")</f>
        <v/>
      </c>
      <c r="G26" t="n">
        <v>3</v>
      </c>
      <c r="H26" s="7">
        <f>IFERROR(INDEX(Products!$A$5:$A$54,MATCH(SMALL(Products!$I$5:$I$54,3),Products!$I$5:$I$54,0)),"")</f>
        <v/>
      </c>
      <c r="I26" s="34" t="n"/>
      <c r="J26" s="15">
        <f>IFERROR(INDEX(Products!$H$5:$H$54,MATCH(SMALL(Products!$I$5:$I$54,3),Products!$I$5:$I$54,0)),"")</f>
        <v/>
      </c>
      <c r="K26" s="28">
        <f>IFERROR(INDEX(Products!$G$5:$G$54,MATCH(SMALL(Products!$I$5:$I$54,3),Products!$I$5:$I$54,0)),"")</f>
        <v/>
      </c>
    </row>
    <row r="29">
      <c r="A29" s="10" t="inlineStr">
        <is>
          <t>WHERE YOUR FEES WENT (the 12 months above)</t>
        </is>
      </c>
    </row>
    <row r="30">
      <c r="A30" s="16" t="inlineStr">
        <is>
          <t>Fee type</t>
        </is>
      </c>
      <c r="B30" s="16" t="inlineStr"/>
      <c r="C30" s="16" t="inlineStr"/>
      <c r="D30" s="16" t="inlineStr">
        <is>
          <t>Amount</t>
        </is>
      </c>
    </row>
    <row r="31">
      <c r="A31" t="inlineStr">
        <is>
          <t>Etsy listing fees</t>
        </is>
      </c>
      <c r="D31" s="15">
        <f>SUMIFS('Orders Log'!$N$6:$N$505,'Orders Log'!$X$6:$X$505,"&gt;="&amp;$A$7,'Orders Log'!$X$6:$X$505,"&lt;="&amp;$A$18)</f>
        <v/>
      </c>
    </row>
    <row r="32">
      <c r="A32" t="inlineStr">
        <is>
          <t>Etsy transaction fees</t>
        </is>
      </c>
      <c r="D32" s="15">
        <f>SUMIFS('Orders Log'!$O$6:$O$505,'Orders Log'!$X$6:$X$505,"&gt;="&amp;$A$7,'Orders Log'!$X$6:$X$505,"&lt;="&amp;$A$18)</f>
        <v/>
      </c>
    </row>
    <row r="33">
      <c r="A33" t="inlineStr">
        <is>
          <t>Etsy payment processing</t>
        </is>
      </c>
      <c r="D33" s="15">
        <f>SUMIFS('Orders Log'!$P$6:$P$505,'Orders Log'!$X$6:$X$505,"&gt;="&amp;$A$7,'Orders Log'!$X$6:$X$505,"&lt;="&amp;$A$18,'Orders Log'!$B$6:$B$505,"Etsy")</f>
        <v/>
      </c>
    </row>
    <row r="34">
      <c r="A34" t="inlineStr">
        <is>
          <t>Etsy Offsite Ads</t>
        </is>
      </c>
      <c r="D34" s="15">
        <f>SUMIFS('Orders Log'!$Q$6:$Q$505,'Orders Log'!$X$6:$X$505,"&gt;="&amp;$A$7,'Orders Log'!$X$6:$X$505,"&lt;="&amp;$A$18)</f>
        <v/>
      </c>
    </row>
    <row r="35">
      <c r="A35" t="inlineStr">
        <is>
          <t>Shopify payment fees</t>
        </is>
      </c>
      <c r="D35" s="15">
        <f>SUMIFS('Orders Log'!$P$6:$P$505,'Orders Log'!$X$6:$X$505,"&gt;="&amp;$A$7,'Orders Log'!$X$6:$X$505,"&lt;="&amp;$A$18,'Orders Log'!$B$6:$B$505,"Shopify")</f>
        <v/>
      </c>
    </row>
    <row r="36">
      <c r="A36" t="inlineStr">
        <is>
          <t>Fee credits on refunds</t>
        </is>
      </c>
      <c r="D36" s="15">
        <f>-SUMIFS('Orders Log'!$R$6:$R$505,'Orders Log'!$X$6:$X$505,"&gt;="&amp;$A$7,'Orders Log'!$X$6:$X$505,"&lt;="&amp;$A$18)</f>
        <v/>
      </c>
    </row>
    <row r="37">
      <c r="A37" s="25" t="inlineStr">
        <is>
          <t>Total</t>
        </is>
      </c>
      <c r="D37" s="27">
        <f>SUM(D31:D36)</f>
        <v/>
      </c>
    </row>
    <row r="38">
      <c r="A38" s="9" t="inlineStr">
        <is>
          <t>Matches the Fees column above. Etsy Ads and the Shopify plan are overhead (Expenses tab).</t>
        </is>
      </c>
    </row>
  </sheetData>
  <sheetProtection selectLockedCells="0" selectUnlockedCells="0" sheet="1" objects="0" insertRows="1" insertHyperlinks="1" autoFilter="1" scenarios="0" formatColumns="0" deleteColumns="1" insertColumns="1" pivotTables="1" deleteRows="1" formatCells="0" formatRows="0" sort="1"/>
  <mergeCells count="12">
    <mergeCell ref="H25:I25"/>
    <mergeCell ref="B24:C24"/>
    <mergeCell ref="A33:C33"/>
    <mergeCell ref="A36:C36"/>
    <mergeCell ref="B25:C25"/>
    <mergeCell ref="A32:C32"/>
    <mergeCell ref="H24:I24"/>
    <mergeCell ref="A31:C31"/>
    <mergeCell ref="A34:C34"/>
    <mergeCell ref="B26:C26"/>
    <mergeCell ref="A35:C35"/>
    <mergeCell ref="H26:I26"/>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MarginKite</dc:creator>
  <dcterms:created xsi:type="dcterms:W3CDTF">2026-10-21T00:00:00Z</dcterms:created>
  <dcterms:modified xsi:type="dcterms:W3CDTF">2026-10-21T00:00:00Z</dcterms:modified>
  <cp:lastModifiedBy>MarginKite</cp:lastModifiedBy>
</cp:coreProperties>
</file>