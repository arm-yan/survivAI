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sy Fe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-&quot;$&quot;#,##0.00"/>
    <numFmt numFmtId="165" formatCode="yyyy-mm-dd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95959"/>
    </font>
    <font>
      <b val="1"/>
      <color rgb="000F8B7D"/>
    </font>
    <font/>
    <font>
      <b val="1"/>
      <color rgb="00FFFFFF"/>
    </font>
    <font>
      <b val="1"/>
      <color rgb="00C00000"/>
    </font>
    <font>
      <b val="1"/>
    </font>
    <font>
      <b val="1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1" applyProtection="1" pivotButton="0" quotePrefix="0" xfId="0">
      <protection locked="0" hidden="0"/>
    </xf>
    <xf numFmtId="0" fontId="0" fillId="2" borderId="0" pivotButton="0" quotePrefix="0" xfId="0"/>
    <xf numFmtId="0" fontId="0" fillId="4" borderId="0" pivotButton="0" quotePrefix="0" xfId="0"/>
    <xf numFmtId="0" fontId="0" fillId="2" borderId="1" applyProtection="1" pivotButton="0" quotePrefix="0" xfId="0">
      <protection locked="0" hidden="0"/>
    </xf>
    <xf numFmtId="164" fontId="0" fillId="4" borderId="1" pivotButton="0" quotePrefix="0" xfId="0"/>
    <xf numFmtId="0" fontId="7" fillId="0" borderId="0" pivotButton="0" quotePrefix="0" xfId="0"/>
    <xf numFmtId="164" fontId="7" fillId="4" borderId="1" pivotButton="0" quotePrefix="0" xfId="0"/>
    <xf numFmtId="166" fontId="7" fillId="4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3" borderId="1" applyAlignment="1" pivotButton="0" quotePrefix="0" xfId="0">
      <alignment vertical="center" wrapText="1"/>
    </xf>
    <xf numFmtId="165" fontId="0" fillId="2" borderId="1" applyProtection="1" pivotButton="0" quotePrefix="0" xfId="0">
      <protection locked="0" hidden="0"/>
    </xf>
    <xf numFmtId="0" fontId="6" fillId="2" borderId="1" applyProtection="1" pivotButton="0" quotePrefix="0" xfId="0">
      <protection locked="0" hidden="0"/>
    </xf>
    <xf numFmtId="10" fontId="0" fillId="2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ont>
        <color rgb="00DDEBF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rginkite.gumroad.com/l/profit-tracke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41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2" customWidth="1" min="4" max="4"/>
    <col width="44" customWidth="1" min="5" max="5"/>
    <col width="13" customWidth="1" min="6" max="6"/>
  </cols>
  <sheetData>
    <row r="1">
      <c r="B1" s="1" t="inlineStr">
        <is>
          <t>MarginKite Etsy Fee Calculator (Lite)</t>
        </is>
      </c>
    </row>
    <row r="2">
      <c r="B2" s="2" t="inlineStr">
        <is>
          <t>Free. US Etsy sellers. Fees as of 2026-10-21 (unverified). Estimates only; check your own statements.</t>
        </is>
      </c>
    </row>
    <row r="4">
      <c r="B4" s="3" t="inlineStr">
        <is>
          <t>YOUR ITEM</t>
        </is>
      </c>
    </row>
    <row r="5">
      <c r="B5" s="4" t="inlineStr">
        <is>
          <t>Item price</t>
        </is>
      </c>
      <c r="C5" s="5" t="n"/>
      <c r="E5" s="6" t="inlineStr">
        <is>
          <t>Yellow = you type</t>
        </is>
      </c>
    </row>
    <row r="6">
      <c r="B6" s="4" t="inlineStr">
        <is>
          <t>Shipping charged to the buyer</t>
        </is>
      </c>
      <c r="C6" s="5" t="n"/>
      <c r="E6" s="7" t="inlineStr">
        <is>
          <t>Blue = calculated (locked, no password)</t>
        </is>
      </c>
    </row>
    <row r="7">
      <c r="B7" s="4" t="inlineStr">
        <is>
          <t>Your shipping cost</t>
        </is>
      </c>
      <c r="C7" s="5" t="n"/>
    </row>
    <row r="8">
      <c r="B8" s="4" t="inlineStr">
        <is>
          <t>Your cost to make it</t>
        </is>
      </c>
      <c r="C8" s="5" t="n"/>
      <c r="E8" s="2" t="inlineStr">
        <is>
          <t>Made by MarginKite with help from AI.</t>
        </is>
      </c>
    </row>
    <row r="9">
      <c r="B9" s="4" t="inlineStr">
        <is>
          <t>Sold via Etsy Offsite Ad? (Y/N)</t>
        </is>
      </c>
      <c r="C9" s="8" t="inlineStr">
        <is>
          <t>N</t>
        </is>
      </c>
    </row>
    <row r="10">
      <c r="B10" s="4" t="inlineStr">
        <is>
          <t>Etsy sales in last 12 months $10,000+? (Y/N)</t>
        </is>
      </c>
      <c r="C10" s="8" t="inlineStr">
        <is>
          <t>N</t>
        </is>
      </c>
    </row>
    <row r="12">
      <c r="B12" s="3" t="inlineStr">
        <is>
          <t>RESULT</t>
        </is>
      </c>
    </row>
    <row r="13">
      <c r="B13" s="4" t="inlineStr">
        <is>
          <t>Order total (buyer pays)</t>
        </is>
      </c>
      <c r="C13" s="9">
        <f>$C$5+$C$6</f>
        <v/>
      </c>
    </row>
    <row r="14">
      <c r="B14" s="4" t="inlineStr">
        <is>
          <t>Listing fee</t>
        </is>
      </c>
      <c r="C14" s="9">
        <f>$C$28</f>
        <v/>
      </c>
    </row>
    <row r="15">
      <c r="B15" s="4" t="inlineStr">
        <is>
          <t>Transaction fee</t>
        </is>
      </c>
      <c r="C15" s="9">
        <f>$C$29*C13</f>
        <v/>
      </c>
    </row>
    <row r="16">
      <c r="B16" s="4" t="inlineStr">
        <is>
          <t>Payment processing</t>
        </is>
      </c>
      <c r="C16" s="9">
        <f>$C$30*C13+$C$31</f>
        <v/>
      </c>
    </row>
    <row r="17">
      <c r="B17" s="4" t="inlineStr">
        <is>
          <t>Offsite Ads fee</t>
        </is>
      </c>
      <c r="C17" s="9">
        <f>MIN(IF($C$9="Y",IF($C$10="Y",$C$33,$C$32),0)*C13,$C$34)</f>
        <v/>
      </c>
    </row>
    <row r="18">
      <c r="B18" s="10" t="inlineStr">
        <is>
          <t>Total Etsy fees</t>
        </is>
      </c>
      <c r="C18" s="11">
        <f>SUM(C14:C17)</f>
        <v/>
      </c>
    </row>
    <row r="19">
      <c r="B19" s="4" t="inlineStr">
        <is>
          <t>Your costs (making + shipping)</t>
        </is>
      </c>
      <c r="C19" s="9">
        <f>$C$7+$C$8</f>
        <v/>
      </c>
    </row>
    <row r="20">
      <c r="B20" s="10" t="inlineStr">
        <is>
          <t>NET PROFIT</t>
        </is>
      </c>
      <c r="C20" s="11">
        <f>C13-C18-C19</f>
        <v/>
      </c>
    </row>
    <row r="21">
      <c r="B21" s="10" t="inlineStr">
        <is>
          <t>Margin (profit / order total)</t>
        </is>
      </c>
      <c r="C21" s="12">
        <f>IF(C13&gt;0,C20/C13,"")</f>
        <v/>
      </c>
    </row>
    <row r="23" ht="30" customHeight="1">
      <c r="B23" s="13" t="inlineStr">
        <is>
          <t>Want every order tracked, Etsy vs Shopify side by side and the price for your target margin? That's the full MarginKite Seller Profit Tracker:</t>
        </is>
      </c>
    </row>
    <row r="24">
      <c r="B24" s="14" t="inlineStr">
        <is>
          <t>Get the full tracker: marginkite.gumroad.com/l/profit-tracker</t>
        </is>
      </c>
    </row>
    <row r="26">
      <c r="B26" s="3" t="inlineStr">
        <is>
          <t>FEE SETTINGS (edit if Etsy changes its fees)</t>
        </is>
      </c>
    </row>
    <row r="27">
      <c r="B27" s="15" t="inlineStr">
        <is>
          <t>Fee</t>
        </is>
      </c>
      <c r="C27" s="15" t="inlineStr">
        <is>
          <t>Value</t>
        </is>
      </c>
      <c r="D27" s="15" t="inlineStr">
        <is>
          <t>As of</t>
        </is>
      </c>
      <c r="E27" s="15" t="inlineStr">
        <is>
          <t>Source</t>
        </is>
      </c>
      <c r="F27" s="15" t="inlineStr">
        <is>
          <t>Status</t>
        </is>
      </c>
    </row>
    <row r="28">
      <c r="B28" t="inlineStr">
        <is>
          <t>Listing fee ($ per unit)</t>
        </is>
      </c>
      <c r="C28" s="5" t="n">
        <v>0.2</v>
      </c>
      <c r="D28" s="16" t="n">
        <v>46316</v>
      </c>
      <c r="E28" s="8" t="inlineStr">
        <is>
          <t>https://checkoutpage.com/blog/etsy-fees ; https://www.listadum.com/etsy-fee-calculator</t>
        </is>
      </c>
      <c r="F28" s="17" t="inlineStr">
        <is>
          <t>UNVERIFIED</t>
        </is>
      </c>
    </row>
    <row r="29">
      <c r="B29" t="inlineStr">
        <is>
          <t>Transaction fee (item + shipping)</t>
        </is>
      </c>
      <c r="C29" s="18" t="n">
        <v>0.065</v>
      </c>
      <c r="D29" s="16" t="n">
        <v>46316</v>
      </c>
      <c r="E29" s="8" t="inlineStr">
        <is>
          <t>https://checkoutpage.com/blog/etsy-fees ; https://craftybase.com/etsy-fee-calculator</t>
        </is>
      </c>
      <c r="F29" s="17" t="inlineStr">
        <is>
          <t>UNVERIFIED</t>
        </is>
      </c>
    </row>
    <row r="30">
      <c r="B30" t="inlineStr">
        <is>
          <t>Payment processing %</t>
        </is>
      </c>
      <c r="C30" s="18" t="n">
        <v>0.03</v>
      </c>
      <c r="D30" s="16" t="n">
        <v>46316</v>
      </c>
      <c r="E30" s="8" t="inlineStr">
        <is>
          <t>https://checkoutpage.com/blog/etsy-fees ; https://craftybase.com/etsy-fee-calculator</t>
        </is>
      </c>
      <c r="F30" s="17" t="inlineStr">
        <is>
          <t>UNVERIFIED</t>
        </is>
      </c>
    </row>
    <row r="31">
      <c r="B31" t="inlineStr">
        <is>
          <t>Payment processing fixed ($ per order)</t>
        </is>
      </c>
      <c r="C31" s="5" t="n">
        <v>0.25</v>
      </c>
      <c r="D31" s="16" t="n">
        <v>46316</v>
      </c>
      <c r="E31" s="8" t="inlineStr">
        <is>
          <t>https://checkoutpage.com/blog/etsy-fees ; https://craftybase.com/etsy-fee-calculator</t>
        </is>
      </c>
      <c r="F31" s="17" t="inlineStr">
        <is>
          <t>UNVERIFIED</t>
        </is>
      </c>
    </row>
    <row r="32">
      <c r="B32" t="inlineStr">
        <is>
          <t>Offsite Ads rate, under $10k</t>
        </is>
      </c>
      <c r="C32" s="18" t="n">
        <v>0.15</v>
      </c>
      <c r="D32" s="16" t="n">
        <v>46316</v>
      </c>
      <c r="E32" s="8" t="inlineStr">
        <is>
          <t>https://checkoutpage.com/blog/etsy-fees ; https://blog.marmalead.com/etsy-vs-shopify/</t>
        </is>
      </c>
      <c r="F32" s="17" t="inlineStr">
        <is>
          <t>UNVERIFIED</t>
        </is>
      </c>
    </row>
    <row r="33">
      <c r="B33" t="inlineStr">
        <is>
          <t>Offsite Ads rate, $10k+</t>
        </is>
      </c>
      <c r="C33" s="18" t="n">
        <v>0.12</v>
      </c>
      <c r="D33" s="16" t="n">
        <v>46316</v>
      </c>
      <c r="E33" s="8" t="inlineStr">
        <is>
          <t>https://checkoutpage.com/blog/etsy-fees ; https://blog.marmalead.com/etsy-vs-shopify/</t>
        </is>
      </c>
      <c r="F33" s="17" t="inlineStr">
        <is>
          <t>UNVERIFIED</t>
        </is>
      </c>
    </row>
    <row r="34">
      <c r="B34" t="inlineStr">
        <is>
          <t>Offsite Ads cap ($ per order)</t>
        </is>
      </c>
      <c r="C34" s="5" t="n">
        <v>100</v>
      </c>
      <c r="D34" s="16" t="n">
        <v>46316</v>
      </c>
      <c r="E34" s="8" t="inlineStr">
        <is>
          <t>https://checkoutpage.com/blog/etsy-fees ; https://blog.marmalead.com/etsy-vs-shopify/</t>
        </is>
      </c>
      <c r="F34" s="17" t="inlineStr">
        <is>
          <t>UNVERIFIED</t>
        </is>
      </c>
    </row>
    <row r="35">
      <c r="B35" s="2" t="inlineStr">
        <is>
          <t>Official page to check: https://www.etsy.com/legal/fees/  (sales tax and discounts not modeled)</t>
        </is>
      </c>
    </row>
    <row r="37">
      <c r="B37" s="3" t="inlineStr">
        <is>
          <t>HOW TO OPEN</t>
        </is>
      </c>
    </row>
    <row r="38">
      <c r="B38" s="4" t="inlineStr">
        <is>
          <t>Google Sheets: sign in to Google, open the "make a copy" link from your download page, then click Make a copy.</t>
        </is>
      </c>
    </row>
    <row r="39">
      <c r="B39" s="4" t="inlineStr">
        <is>
          <t>Excel: open the .xlsx in Excel 2016 or newer. There are no macros to allow.</t>
        </is>
      </c>
    </row>
    <row r="40">
      <c r="B40" s="4" t="inlineStr">
        <is>
          <t>No link handy? Upload the .xlsx to Google Drive, then choose File &gt; Save as Google Sheets.</t>
        </is>
      </c>
    </row>
    <row r="41">
      <c r="B41" s="4" t="inlineStr">
        <is>
          <t>Two versions: MarginKite-Etsy-Fee-Calculator-Lite.xlsx has an example item; MarginKite-Etsy-Fee-Calculator-Lite-BLANK.xlsx starts empty. This is the BLANK version.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B23:E23"/>
    <mergeCell ref="B24:E24"/>
  </mergeCells>
  <conditionalFormatting sqref="C13:C21">
    <cfRule type="expression" priority="1" dxfId="0" stopIfTrue="0">
      <formula>$C$5=""</formula>
    </cfRule>
  </conditionalFormatting>
  <dataValidations count="1">
    <dataValidation sqref="C9 C10" showDropDown="0" showInputMessage="0" showErrorMessage="0" allowBlank="1" errorTitle="Pick from the list" error="Please pick a value from the list." type="list">
      <formula1>"Y,N"</formula1>
    </dataValidation>
  </dataValidations>
  <hyperlinks>
    <hyperlink xmlns:r="http://schemas.openxmlformats.org/officeDocument/2006/relationships" ref="B2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MarginKite</dc:creator>
  <dcterms:created xsi:type="dcterms:W3CDTF">2026-10-21T00:00:00Z</dcterms:created>
  <dcterms:modified xsi:type="dcterms:W3CDTF">2026-10-21T00:00:00Z</dcterms:modified>
  <cp:lastModifiedBy>MarginKite</cp:lastModifiedBy>
</cp:coreProperties>
</file>